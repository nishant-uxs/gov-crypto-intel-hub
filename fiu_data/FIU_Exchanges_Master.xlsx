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e235f181f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0ac1104f8846a8"/>
    <x:sheet xmlns:r="http://schemas.openxmlformats.org/officeDocument/2006/relationships" name="FIU_Exchanges_Master" sheetId="2" r:id="R16debcdc84814cdb"/>
    <x:sheet xmlns:r="http://schemas.openxmlformats.org/officeDocument/2006/relationships" name="Product_Taxonomy" sheetId="3" r:id="R24a1e241e09f46b2"/>
    <x:sheet xmlns:r="http://schemas.openxmlformats.org/officeDocument/2006/relationships" name="Sources_Methodology" sheetId="4" r:id="R332300ef41ef4601"/>
    <x:sheet xmlns:r="http://schemas.openxmlformats.org/officeDocument/2006/relationships" name="Research_Gaps" sheetId="5" r:id="R0e91813e8a29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172A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C2D12"/>
      </x:font>
      <x:fill>
        <x:patternFill patternType="solid">
          <x:bgColor rgb="FED7AA"/>
        </x:patternFill>
      </x:fill>
    </x:dxf>
    <x:dxf>
      <x:font>
        <x:color rgb="14532D"/>
      </x:font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ont>
        <x:b/>
        <x:color rgb="7F1D1D"/>
      </x:font>
      <x:fill>
        <x:patternFill patternType="solid">
          <x:bgColor rgb="FECACA"/>
        </x:patternFill>
      </x:fill>
    </x:dxf>
    <x:dxf>
      <x:font>
        <x:b/>
        <x:color rgb="7C2D12"/>
      </x:font>
      <x:fill>
        <x:patternFill patternType="solid">
          <x:bgColor rgb="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5698c06af41d1" /><Relationship Type="http://schemas.openxmlformats.org/officeDocument/2006/relationships/theme" Target="/xl/theme/theme1.xml" Id="R17e06366e0944925" /><Relationship Type="http://schemas.openxmlformats.org/officeDocument/2006/relationships/sharedStrings" Target="/xl/sharedStrings.xml" Id="R751255e187834a55" /><Relationship Type="http://schemas.openxmlformats.org/officeDocument/2006/relationships/worksheet" Target="/xl/worksheets/sheet1.xml" Id="Rda0ac1104f8846a8" /><Relationship Type="http://schemas.openxmlformats.org/officeDocument/2006/relationships/worksheet" Target="/xl/worksheets/sheet2.xml" Id="R16debcdc84814cdb" /><Relationship Type="http://schemas.openxmlformats.org/officeDocument/2006/relationships/worksheet" Target="/xl/worksheets/sheet3.xml" Id="R24a1e241e09f46b2" /><Relationship Type="http://schemas.openxmlformats.org/officeDocument/2006/relationships/worksheet" Target="/xl/worksheets/sheet4.xml" Id="R332300ef41ef4601" /><Relationship Type="http://schemas.openxmlformats.org/officeDocument/2006/relationships/worksheet" Target="/xl/worksheets/sheet5.xml" Id="R0e91813e8a2944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6097db3ef54a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FIU Exchange Risk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'Dashboard'!$D$3:$D$9</c:f>
              <c:strCache>
                <c:ptCount val="0"/>
              </c:strCache>
            </c:strRef>
          </c:cat>
          <c:val>
            <c:numRef>
              <c:f>'Dashboard'!$E$3:$E$9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6097db3ef54a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iskSummaryTable" displayName="RiskSummaryTable" ref="D2:E9" headerRowCount="1">
  <x:tableColumns count="2">
    <x:tableColumn id="1" name="Risk Rating"/>
    <x:tableColumn id="2" name="Count"/>
  </x:tableColumns>
  <x:tableStyleInfo name="TableStyleMedium2" showRowStripes="1"/>
</x:table>
</file>

<file path=xl/tables/table2.xml><?xml version="1.0" encoding="utf-8"?>
<x:table xmlns:x="http://schemas.openxmlformats.org/spreadsheetml/2006/main" id="3" name="WatchlistTable" displayName="WatchlistTable" ref="A14:E25" headerRowCount="1">
  <x:tableColumns count="5">
    <x:tableColumn id="1" name="Trade Name"/>
    <x:tableColumn id="2" name="Type"/>
    <x:tableColumn id="3" name="Risk"/>
    <x:tableColumn id="4" name="Priority"/>
    <x:tableColumn id="5" name="Key Trigger"/>
  </x:tableColumns>
  <x:tableStyleInfo name="TableStyleMedium2" showRowStripes="1"/>
</x:table>
</file>

<file path=xl/tables/table3.xml><?xml version="1.0" encoding="utf-8"?>
<x:table xmlns:x="http://schemas.openxmlformats.org/spreadsheetml/2006/main" id="1" name="FIUExchangesMaster" displayName="FIUExchangesMaster" ref="A1:W50" headerRowCount="1">
  <x:tableColumns count="23">
    <x:tableColumn id="1" name="S.No"/>
    <x:tableColumn id="2" name="Legal Entity / RE Name"/>
    <x:tableColumn id="3" name="Trade Name"/>
    <x:tableColumn id="4" name="Exchange Type"/>
    <x:tableColumn id="5" name="FIU Status"/>
    <x:tableColumn id="6" name="FIU Registration Date / Evidence"/>
    <x:tableColumn id="7" name="Headquarters / Jurisdiction"/>
    <x:tableColumn id="8" name="Founders / Key People"/>
    <x:tableColumn id="9" name="Products Offered"/>
    <x:tableColumn id="10" name="Est. Users"/>
    <x:tableColumn id="11" name="Trading Volume / Market Share"/>
    <x:tableColumn id="12" name="Max Leverage"/>
    <x:tableColumn id="13" name="Security Incidents"/>
    <x:tableColumn id="14" name="GST / Tax Enforcement Notes"/>
    <x:tableColumn id="15" name="TDS Compliance Status"/>
    <x:tableColumn id="16" name="Current Status"/>
    <x:tableColumn id="17" name="Risk Rating"/>
    <x:tableColumn id="18" name="Monitoring Priority"/>
    <x:tableColumn id="19" name="Last Verified"/>
    <x:tableColumn id="20" name="Source / Evidence Notes"/>
    <x:tableColumn id="21" name="Data Confidence"/>
    <x:tableColumn id="22" name="Completeness %"/>
    <x:tableColumn id="23" name="Immediate Action Required"/>
  </x:tableColumns>
  <x:tableStyleInfo name="TableStyleMedium2" showRowStripes="1"/>
</x:table>
</file>

<file path=xl/tables/table4.xml><?xml version="1.0" encoding="utf-8"?>
<x:table xmlns:x="http://schemas.openxmlformats.org/spreadsheetml/2006/main" id="4" name="ProductTaxonomyTable" displayName="ProductTaxonomyTable" ref="A1:F13" headerRowCount="1">
  <x:tableColumns count="6">
    <x:tableColumn id="1" name="Product Category"/>
    <x:tableColumn id="2" name="How It Works"/>
    <x:tableColumn id="3" name="Exchanges / Examples"/>
    <x:tableColumn id="4" name="Primary Regulator Gap"/>
    <x:tableColumn id="5" name="Monitoring Signal"/>
    <x:tableColumn id="6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7" headerRowCount="1">
  <x:tableColumns count="3">
    <x:tableColumn id="1" name="Source File / Authority"/>
    <x:tableColumn id="2" name="What It Supports"/>
    <x:tableColumn id="3" name="Limitations / Follow-up Needed"/>
  </x:tableColumns>
  <x:tableStyleInfo name="TableStyleMedium2" showRowStripes="1"/>
</x:table>
</file>

<file path=xl/tables/table6.xml><?xml version="1.0" encoding="utf-8"?>
<x:table xmlns:x="http://schemas.openxmlformats.org/spreadsheetml/2006/main" id="6" name="ResearchGapsTable" displayName="ResearchGapsTable" ref="A1:H8" headerRowCount="1">
  <x:tableColumns count="8">
    <x:tableColumn id="1" name="Gap ID"/>
    <x:tableColumn id="2" name="Exchange / Area"/>
    <x:tableColumn id="3" name="Missing Data"/>
    <x:tableColumn id="4" name="Why It Matters"/>
    <x:tableColumn id="5" name="Recommended Collection Method"/>
    <x:tableColumn id="6" name="Priority"/>
    <x:tableColumn id="7" name="Owner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89a6934ac4468b" /><Relationship Type="http://schemas.openxmlformats.org/officeDocument/2006/relationships/table" Target="/xl/tables/table1.xml" Id="R6978bcbbf31f45b4" /><Relationship Type="http://schemas.openxmlformats.org/officeDocument/2006/relationships/table" Target="/xl/tables/table2.xml" Id="Rf3947160abcb49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fc7e8af4eda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045f80bf3b743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cc8d4cd394542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e70cc6fd8a049c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4" max="4" width="26" hidden="0" customWidth="1"/>
    <x:col min="5" max="5" width="60" hidden="0" customWidth="1"/>
    <x:col min="3" max="3" width="18" hidden="0" customWidth="1"/>
  </x:cols>
  <x:sheetData>
    <x:row r="1" ht="35" customHeight="1">
      <x:c r="A1" s="32" t="str">
        <x:v>FIU Exchanges Master Database</x:v>
      </x:c>
      <x:c r="B1" s="12" t="str"/>
    </x:row>
    <x:row r="2">
      <x:c r="A2" s="33" t="str">
        <x:v>As of</x:v>
      </x:c>
      <x:c r="B2" s="12" t="str">
        <x:v>2026-05-11</x:v>
      </x:c>
      <x:c r="D2" s="6" t="str">
        <x:v>Risk Rating</x:v>
      </x:c>
      <x:c r="E2" s="6" t="str">
        <x:v>Count</x:v>
      </x:c>
    </x:row>
    <x:row r="3">
      <x:c r="A3" s="33" t="str">
        <x:v>Scope</x:v>
      </x:c>
      <x:c r="B3" s="12" t="str">
        <x:v>49 FIU-registered / later-registered entities compiled from uploaded project records</x:v>
      </x:c>
      <x:c r="D3" t="str">
        <x:v>EXTREME</x:v>
      </x:c>
      <x:c r="E3" t="n">
        <x:f>COUNTIF(FIU_Exchanges_Master!Q2:Q50,"EXTREME")</x:f>
        <x:v>4</x:v>
      </x:c>
    </x:row>
    <x:row r="4">
      <x:c r="A4" s="33" t="str">
        <x:v>Total entities</x:v>
      </x:c>
      <x:c r="B4" s="12" t="n">
        <x:f>COUNTA(FIU_Exchanges_Master!C2:C50)</x:f>
        <x:v>49</x:v>
      </x:c>
      <x:c r="D4" t="str">
        <x:v>VERY HIGH</x:v>
      </x:c>
      <x:c r="E4" t="n">
        <x:f>COUNTIF(FIU_Exchanges_Master!Q2:Q50,"VERY HIGH")</x:f>
        <x:v>4</x:v>
      </x:c>
    </x:row>
    <x:row r="5">
      <x:c r="A5" s="33" t="str">
        <x:v>Tier 1 / immediate audit count</x:v>
      </x:c>
      <x:c r="B5" s="12" t="n">
        <x:v>11</x:v>
      </x:c>
      <x:c r="D5" t="str">
        <x:v>HIGH</x:v>
      </x:c>
      <x:c r="E5" t="n">
        <x:f>COUNTIF(FIU_Exchanges_Master!Q2:Q50,"HIGH")</x:f>
        <x:v>2</x:v>
      </x:c>
    </x:row>
    <x:row r="6">
      <x:c r="A6" s="33" t="str">
        <x:v>Extreme risk count</x:v>
      </x:c>
      <x:c r="B6" s="12" t="n">
        <x:f>COUNTIF(FIU_Exchanges_Master!Q2:Q50,"EXTREME")</x:f>
        <x:v>4</x:v>
      </x:c>
      <x:c r="D6" t="str">
        <x:v>MODERATE / LOW-MOD</x:v>
      </x:c>
      <x:c r="E6" t="n">
        <x:f>COUNTIF(FIU_Exchanges_Master!Q2:Q50,"MODERATE")+COUNTIF(FIU_Exchanges_Master!Q2:Q50,"LOW-MOD")</x:f>
        <x:v>3</x:v>
      </x:c>
    </x:row>
    <x:row r="7">
      <x:c r="A7" s="33" t="str">
        <x:v>Very high risk count</x:v>
      </x:c>
      <x:c r="B7" s="12" t="n">
        <x:f>COUNTIF(FIU_Exchanges_Master!Q2:Q50,"VERY HIGH")</x:f>
        <x:v>4</x:v>
      </x:c>
      <x:c r="D7" t="str">
        <x:v>SPOT ONLY</x:v>
      </x:c>
      <x:c r="E7" t="n">
        <x:f>COUNTIF(FIU_Exchanges_Master!Q2:Q50,"SPOT ONLY")</x:f>
        <x:v>2</x:v>
      </x:c>
    </x:row>
    <x:row r="8">
      <x:c r="A8" s="33" t="str">
        <x:v>Under review count</x:v>
      </x:c>
      <x:c r="B8" s="12" t="n">
        <x:f>COUNTIF(FIU_Exchanges_Master!Q2:Q50,"UNDER REVIEW")</x:f>
        <x:v>31</x:v>
      </x:c>
      <x:c r="D8" t="str">
        <x:v>CUSTODY RISK</x:v>
      </x:c>
      <x:c r="E8" t="n">
        <x:f>COUNTIF(FIU_Exchanges_Master!Q2:Q50,"CUSTODY RISK")</x:f>
        <x:v>1</x:v>
      </x:c>
    </x:row>
    <x:row r="9">
      <x:c r="A9" s="33" t="str">
        <x:v>Known GST/tax enforcement notes count</x:v>
      </x:c>
      <x:c r="B9" s="12" t="n">
        <x:v>11</x:v>
      </x:c>
      <x:c r="D9" t="str">
        <x:v>UNDER REVIEW</x:v>
      </x:c>
      <x:c r="E9" t="n">
        <x:f>COUNTIF(FIU_Exchanges_Master!Q2:Q50,"UNDER REVIEW")</x:f>
        <x:v>31</x:v>
      </x:c>
    </x:row>
    <x:row r="10">
      <x:c r="A10" s="33" t="str">
        <x:v>Unknown TDS status count</x:v>
      </x:c>
      <x:c r="B10" s="12" t="n">
        <x:v>32</x:v>
      </x:c>
    </x:row>
    <x:row r="11">
      <x:c r="A11" s="33" t="str">
        <x:v>Primary gap</x:v>
      </x:c>
      <x:c r="B11" s="12" t="str">
        <x:v>Exact FIU registration dates, smaller-entity HQ/founders, and product-wise TDS status require formal FIU/MCA/exchange confirmation.</x:v>
      </x:c>
    </x:row>
    <x:row r="12">
      <x:c r="A12" s="33" t="str">
        <x:v>Parliamentary GST cases</x:v>
      </x:c>
      <x:c r="B12" s="12" t="str">
        <x:v>17 crypto exchange cases booked; master sheet maps FIU entities where matched and flags remaining cases in notes.</x:v>
      </x:c>
    </x:row>
    <x:row r="13">
      <x:c r="A13" s="33" t="str">
        <x:v>Update rule</x:v>
      </x:c>
      <x:c r="B13" s="12" t="str">
        <x:v>Refresh fields every project update cycle using FIU/MCA/exchange disclosures and enforcement releases.</x:v>
      </x:c>
    </x:row>
    <x:row r="14">
      <x:c r="A14" s="6" t="str">
        <x:v>Trade Name</x:v>
      </x:c>
      <x:c r="B14" s="6" t="str">
        <x:v>Type</x:v>
      </x:c>
      <x:c r="C14" s="6" t="str">
        <x:v>Risk</x:v>
      </x:c>
      <x:c r="D14" s="6" t="str">
        <x:v>Priority</x:v>
      </x:c>
      <x:c r="E14" s="6" t="str">
        <x:v>Key Trigger</x:v>
      </x:c>
    </x:row>
    <x:row r="15">
      <x:c r="A15" s="12" t="str">
        <x:v>CoinDCX</x:v>
      </x:c>
      <x:c r="B15" s="12" t="str">
        <x:v>Domestic</x:v>
      </x:c>
      <x:c r="C15" s="12" t="str">
        <x:v>VERY HIGH</x:v>
      </x:c>
      <x:c r="D15" s="12" t="str">
        <x:v>Tier 1 - High supervision</x:v>
      </x:c>
      <x:c r="E15" s="12" t="str">
        <x:v>CoinDCX security breach mid-2025: approx ₹384 crore / $44M noted in project research</x:v>
      </x:c>
    </x:row>
    <x:row r="16">
      <x:c r="A16" s="12" t="str">
        <x:v>Bitbns</x:v>
      </x:c>
      <x:c r="B16" s="12" t="str">
        <x:v>Domestic</x:v>
      </x:c>
      <x:c r="C16" s="12" t="str">
        <x:v>HIGH</x:v>
      </x:c>
      <x:c r="D16" s="12" t="str">
        <x:v>Tier 1 - High supervision</x:v>
      </x:c>
      <x:c r="E16" s="12" t="str">
        <x:v>Ongoing fund concern case study noted in tax black-hole report; requires verification</x:v>
      </x:c>
    </x:row>
    <x:row r="17">
      <x:c r="A17" s="12" t="str">
        <x:v>WazirX</x:v>
      </x:c>
      <x:c r="B17" s="12" t="str">
        <x:v>Domestic</x:v>
      </x:c>
      <x:c r="C17" s="12" t="str">
        <x:v>EXTREME</x:v>
      </x:c>
      <x:c r="D17" s="12" t="str">
        <x:v>Tier 1 - Critical watchlist</x:v>
      </x:c>
      <x:c r="E17" s="12" t="str">
        <x:v>July 2024 WazirX hack noted at approx ₹2,000 Cr / $234.9M; users affected; legal restructuring issues noted</x:v>
      </x:c>
    </x:row>
    <x:row r="18">
      <x:c r="A18" s="12" t="str">
        <x:v>CoinSwitch</x:v>
      </x:c>
      <x:c r="B18" s="12" t="str">
        <x:v>Domestic</x:v>
      </x:c>
      <x:c r="C18" s="12" t="str">
        <x:v>HIGH</x:v>
      </x:c>
      <x:c r="D18" s="12" t="str">
        <x:v>Tier 1 - High supervision</x:v>
      </x:c>
      <x:c r="E18" s="12" t="str">
        <x:v>No major security incident identified in uploaded sources; ED/FEMA inquiry noted in tax dossier as alleged/suspected</x:v>
      </x:c>
    </x:row>
    <x:row r="19">
      <x:c r="A19" s="12" t="str">
        <x:v>Suncrypto</x:v>
      </x:c>
      <x:c r="B19" s="12" t="str">
        <x:v>Domestic</x:v>
      </x:c>
      <x:c r="C19" s="12" t="str">
        <x:v>EXTREME</x:v>
      </x:c>
      <x:c r="D19" s="12" t="str">
        <x:v>Tier 1 - High leverage watchlist</x:v>
      </x:c>
      <x:c r="E19" s="12" t="str">
        <x:v>No major incident identified in uploaded sources</x:v>
      </x:c>
    </x:row>
    <x:row r="20">
      <x:c r="A20" s="12" t="str">
        <x:v>Delta Exchange</x:v>
      </x:c>
      <x:c r="B20" s="12" t="str">
        <x:v>Domestic</x:v>
      </x:c>
      <x:c r="C20" s="12" t="str">
        <x:v>VERY HIGH</x:v>
      </x:c>
      <x:c r="D20" s="12" t="str">
        <x:v>Tier 1 - Derivatives watchlist</x:v>
      </x:c>
      <x:c r="E20" s="12" t="str">
        <x:v>No major incident identified in uploaded sources</x:v>
      </x:c>
    </x:row>
    <x:row r="21">
      <x:c r="A21" s="12" t="str">
        <x:v>pi42</x:v>
      </x:c>
      <x:c r="B21" s="12" t="str">
        <x:v>Domestic</x:v>
      </x:c>
      <x:c r="C21" s="12" t="str">
        <x:v>EXTREME</x:v>
      </x:c>
      <x:c r="D21" s="12" t="str">
        <x:v>Tier 1 - Derivatives/tax watchlist</x:v>
      </x:c>
      <x:c r="E21" s="12" t="str">
        <x:v>No major incident identified in uploaded sources</x:v>
      </x:c>
    </x:row>
    <x:row r="22">
      <x:c r="A22" s="12" t="str">
        <x:v>KuCoin</x:v>
      </x:c>
      <x:c r="B22" s="12" t="str">
        <x:v>Offshore</x:v>
      </x:c>
      <x:c r="C22" s="12" t="str">
        <x:v>VERY HIGH</x:v>
      </x:c>
      <x:c r="D22" s="12" t="str">
        <x:v>Tier 1 - Offshore watchlist</x:v>
      </x:c>
      <x:c r="E22" s="12" t="str">
        <x:v>No major India-specific security incident identified in uploaded sources</x:v>
      </x:c>
    </x:row>
    <x:row r="23">
      <x:c r="A23" s="12" t="str">
        <x:v>Liminal</x:v>
      </x:c>
      <x:c r="B23" s="12" t="str">
        <x:v>Domestic / Custody</x:v>
      </x:c>
      <x:c r="C23" s="12" t="str">
        <x:v>CUSTODY RISK</x:v>
      </x:c>
      <x:c r="D23" s="12" t="str">
        <x:v>Tier 1 - Custody supervision</x:v>
      </x:c>
      <x:c r="E23" s="12" t="str">
        <x:v>Custody control risk; no major incident assigned in uploaded source but WazirX custody issues require mapping</x:v>
      </x:c>
    </x:row>
    <x:row r="24">
      <x:c r="A24" s="12" t="str">
        <x:v>Binance</x:v>
      </x:c>
      <x:c r="B24" s="12" t="str">
        <x:v>Offshore</x:v>
      </x:c>
      <x:c r="C24" s="12" t="str">
        <x:v>EXTREME</x:v>
      </x:c>
      <x:c r="D24" s="12" t="str">
        <x:v>Tier 1 - Critical offshore/tax watchlist</x:v>
      </x:c>
      <x:c r="E24" s="12" t="str">
        <x:v>No India-specific hack in uploaded sources; global compliance risk; P2P/crypto card/payment exposure</x:v>
      </x:c>
    </x:row>
    <x:row r="25">
      <x:c r="A25" s="12" t="str">
        <x:v>Bybit India</x:v>
      </x:c>
      <x:c r="B25" s="12" t="str">
        <x:v>Offshore</x:v>
      </x:c>
      <x:c r="C25" s="12" t="str">
        <x:v>VERY HIGH</x:v>
      </x:c>
      <x:c r="D25" s="12" t="str">
        <x:v>Tier 1 - Offshore/product/card watchlist</x:v>
      </x:c>
      <x:c r="E25" s="12" t="str">
        <x:v>No India-specific security incident identified in uploaded sources</x:v>
      </x:c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6c89a6934ac4468b"/>
  <x:tableParts count="2">
    <x:tablePart xmlns:r="http://schemas.openxmlformats.org/officeDocument/2006/relationships" r:id="R6978bcbbf31f45b4"/>
    <x:tablePart xmlns:r="http://schemas.openxmlformats.org/officeDocument/2006/relationships" r:id="Rf3947160abcb49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18" hidden="0" customWidth="1"/>
    <x:col min="4" max="4" width="16" hidden="0" customWidth="1"/>
    <x:col min="5" max="5" width="14" hidden="0" customWidth="1"/>
    <x:col min="6" max="6" width="32" hidden="0" customWidth="1"/>
    <x:col min="7" max="7" width="28" hidden="0" customWidth="1"/>
    <x:col min="8" max="8" width="28" hidden="0" customWidth="1"/>
    <x:col min="9" max="9" width="48" hidden="0" customWidth="1"/>
    <x:col min="10" max="10" width="14" hidden="0" customWidth="1"/>
    <x:col min="11" max="11" width="24" hidden="0" customWidth="1"/>
    <x:col min="12" max="12" width="12" hidden="0" customWidth="1"/>
    <x:col min="13" max="13" width="38" hidden="0" customWidth="1"/>
    <x:col min="14" max="14" width="42" hidden="0" customWidth="1"/>
    <x:col min="15" max="15" width="30" hidden="0" customWidth="1"/>
    <x:col min="16" max="16" width="22" hidden="0" customWidth="1"/>
    <x:col min="17" max="17" width="18" hidden="0" customWidth="1"/>
    <x:col min="18" max="18" width="28" hidden="0" customWidth="1"/>
    <x:col min="19" max="19" width="14" hidden="0" customWidth="1"/>
    <x:col min="20" max="20" width="46" hidden="0" customWidth="1"/>
    <x:col min="21" max="21" width="18" hidden="0" customWidth="1"/>
    <x:col min="22" max="22" width="14" hidden="0" customWidth="1"/>
    <x:col min="23" max="23" width="28" hidden="0" customWidth="1"/>
  </x:cols>
  <x:sheetData>
    <x:row r="1" ht="35" customHeight="1">
      <x:c r="A1" s="14" t="str">
        <x:v>S.No</x:v>
      </x:c>
      <x:c r="B1" s="14" t="str">
        <x:v>Legal Entity / RE Name</x:v>
      </x:c>
      <x:c r="C1" s="14" t="str">
        <x:v>Trade Name</x:v>
      </x:c>
      <x:c r="D1" s="14" t="str">
        <x:v>Exchange Type</x:v>
      </x:c>
      <x:c r="E1" s="14" t="str">
        <x:v>FIU Status</x:v>
      </x:c>
      <x:c r="F1" s="14" t="str">
        <x:v>FIU Registration Date / Evidence</x:v>
      </x:c>
      <x:c r="G1" s="14" t="str">
        <x:v>Headquarters / Jurisdiction</x:v>
      </x:c>
      <x:c r="H1" s="14" t="str">
        <x:v>Founders / Key People</x:v>
      </x:c>
      <x:c r="I1" s="14" t="str">
        <x:v>Products Offered</x:v>
      </x:c>
      <x:c r="J1" s="14" t="str">
        <x:v>Est. Users</x:v>
      </x:c>
      <x:c r="K1" s="14" t="str">
        <x:v>Trading Volume / Market Share</x:v>
      </x:c>
      <x:c r="L1" s="14" t="str">
        <x:v>Max Leverage</x:v>
      </x:c>
      <x:c r="M1" s="14" t="str">
        <x:v>Security Incidents</x:v>
      </x:c>
      <x:c r="N1" s="14" t="str">
        <x:v>GST / Tax Enforcement Notes</x:v>
      </x:c>
      <x:c r="O1" s="14" t="str">
        <x:v>TDS Compliance Status</x:v>
      </x:c>
      <x:c r="P1" s="14" t="str">
        <x:v>Current Status</x:v>
      </x:c>
      <x:c r="Q1" s="14" t="str">
        <x:v>Risk Rating</x:v>
      </x:c>
      <x:c r="R1" s="14" t="str">
        <x:v>Monitoring Priority</x:v>
      </x:c>
      <x:c r="S1" s="14" t="str">
        <x:v>Last Verified</x:v>
      </x:c>
      <x:c r="T1" s="14" t="str">
        <x:v>Source / Evidence Notes</x:v>
      </x:c>
      <x:c r="U1" s="14" t="str">
        <x:v>Data Confidence</x:v>
      </x:c>
      <x:c r="V1" s="14" t="str">
        <x:v>Completeness %</x:v>
      </x:c>
      <x:c r="W1" s="14" t="str">
        <x:v>Immediate Action Required</x:v>
      </x:c>
    </x:row>
    <x:row r="2">
      <x:c r="A2" s="15" t="n">
        <x:v>1</x:v>
      </x:c>
      <x:c r="B2" s="15" t="str">
        <x:v>Neblio Technologies Private Limited</x:v>
      </x:c>
      <x:c r="C2" s="15" t="str">
        <x:v>CoinDCX</x:v>
      </x:c>
      <x:c r="D2" s="15" t="str">
        <x:v>Domestic</x:v>
      </x:c>
      <x:c r="E2" s="15" t="str">
        <x:v>Registered</x:v>
      </x:c>
      <x:c r="F2" s="15" t="str">
        <x:v>Listed as FIU-IND reporting entity by Lok Sabha reply dated 2024-12-02</x:v>
      </x:c>
      <x:c r="G2" s="15" t="str">
        <x:v>Mumbai, India</x:v>
      </x:c>
      <x:c r="H2" s="15" t="str">
        <x:v>Sumit Gupta; Neeraj Khandelwal</x:v>
      </x:c>
      <x:c r="I2" s="15" t="str">
        <x:v>Spot, margin, futures (100x), options, staking, lending, earn, crypto SIP/CIP, NFT access, Web3 DeFi, copy trading, OTC, VIP services</x:v>
      </x:c>
      <x:c r="J2" s="15" t="str">
        <x:v>~20M</x:v>
      </x:c>
      <x:c r="K2" s="15" t="str">
        <x:v>~15% market share</x:v>
      </x:c>
      <x:c r="L2" s="15" t="str">
        <x:v>100x</x:v>
      </x:c>
      <x:c r="M2" s="15" t="str">
        <x:v>CoinDCX security breach mid-2025: approx ₹384 crore / $44M noted in project research</x:v>
      </x:c>
      <x:c r="N2" s="15" t="str">
        <x:v>GST evasion detected ₹16.84 Cr; recovery noted in Parliamentary annexure / related research</x:v>
      </x:c>
      <x:c r="O2" s="15" t="str">
        <x:v>Auto TDS generally reported for spot; derivative/product-level TDS requires verification</x:v>
      </x:c>
      <x:c r="P2" s="15" t="str">
        <x:v>Active</x:v>
      </x:c>
      <x:c r="Q2" s="15" t="str">
        <x:v>VERY HIGH</x:v>
      </x:c>
      <x:c r="R2" s="15" t="str">
        <x:v>Tier 1 - High supervision</x:v>
      </x:c>
      <x:c r="S2" s="18" t="str">
        <x:v>2026-05-11</x:v>
      </x:c>
      <x:c r="T2" s="15" t="str">
        <x:v>Lok Sabha Annexure-A/B; Derivatives Research active profile; Products Study; Tax Dossier</x:v>
      </x:c>
      <x:c r="U2" s="15" t="str">
        <x:v>High for FIU/GST/products; Medium for founder/HQ</x:v>
      </x:c>
      <x:c r="V2" s="20" t="n">
        <x:f>COUNTA(A2:U2)/COLUMNS(A2:U2)</x:f>
        <x:v>1</x:v>
      </x:c>
      <x:c r="W2" s="15" t="str">
        <x:f>IF(OR(Q2="EXTREME",ISNUMBER(SEARCH("Tier 1",R2))),"Immediate audit / evidence pack",IF(OR(Q2="VERY HIGH",ISNUMBER(SEARCH("Tier 2",R2))),"Enhanced monitoring","Complete data verification"))</x:f>
        <x:v>Immediate audit / evidence pack</x:v>
      </x:c>
    </x:row>
    <x:row r="3">
      <x:c r="A3" s="15" t="n">
        <x:v>2</x:v>
      </x:c>
      <x:c r="B3" s="15" t="str">
        <x:v>ANQ Digital Finserv Private Limited</x:v>
      </x:c>
      <x:c r="C3" s="15" t="str">
        <x:v>ANQ Finance</x:v>
      </x:c>
      <x:c r="D3" s="15" t="str">
        <x:v>Domestic</x:v>
      </x:c>
      <x:c r="E3" s="15" t="str">
        <x:v>Registered</x:v>
      </x:c>
      <x:c r="F3" s="15" t="str">
        <x:v>Listed by Lok Sabha reply dated 2024-12-02</x:v>
      </x:c>
      <x:c r="G3" s="15" t="str">
        <x:v>India - exact HQ requires MCA verification</x:v>
      </x:c>
      <x:c r="H3" s="15" t="str">
        <x:v>Requires MCA/public registry verification</x:v>
      </x:c>
      <x:c r="I3" s="15" t="str">
        <x:v>Fintech/VDA services; detailed product mapping pending</x:v>
      </x:c>
      <x:c r="J3" s="15" t="str">
        <x:v>Not disclosed</x:v>
      </x:c>
      <x:c r="K3" s="15" t="str">
        <x:v>Not disclosed</x:v>
      </x:c>
      <x:c r="L3" s="15" t="str">
        <x:v>Not disclosed</x:v>
      </x:c>
      <x:c r="M3" s="15" t="str">
        <x:v>No major incident identified in uploaded sources</x:v>
      </x:c>
      <x:c r="N3" s="15" t="str">
        <x:v>No GST case listed in Lok Sabha Annexure-B</x:v>
      </x:c>
      <x:c r="O3" s="15" t="str">
        <x:v>Unknown / requires exchange-level verification</x:v>
      </x:c>
      <x:c r="P3" s="15" t="str">
        <x:v>Active / registered as per source</x:v>
      </x:c>
      <x:c r="Q3" s="15" t="str">
        <x:v>UNDER REVIEW</x:v>
      </x:c>
      <x:c r="R3" s="15" t="str">
        <x:v>Tier 3 - Data buildout</x:v>
      </x:c>
      <x:c r="S3" s="18" t="str">
        <x:v>2026-05-11</x:v>
      </x:c>
      <x:c r="T3" s="15" t="str">
        <x:v>Lok Sabha Annexure-A</x:v>
      </x:c>
      <x:c r="U3" s="15" t="str">
        <x:v>Low</x:v>
      </x:c>
      <x:c r="V3" s="20" t="n">
        <x:f>COUNTA(A3:U3)/COLUMNS(A3:U3)</x:f>
        <x:v>1</x:v>
      </x:c>
      <x:c r="W3" s="15" t="str">
        <x:f>IF(OR(Q3="EXTREME",ISNUMBER(SEARCH("Tier 1",R3))),"Immediate audit / evidence pack",IF(OR(Q3="VERY HIGH",ISNUMBER(SEARCH("Tier 2",R3))),"Enhanced monitoring","Complete data verification"))</x:f>
        <x:v>Complete data verification</x:v>
      </x:c>
    </x:row>
    <x:row r="4">
      <x:c r="A4" s="15" t="n">
        <x:v>3</x:v>
      </x:c>
      <x:c r="B4" s="15" t="str">
        <x:v>Unocoin Technologies Pvt Ltd</x:v>
      </x:c>
      <x:c r="C4" s="15" t="str">
        <x:v>Unocoin</x:v>
      </x:c>
      <x:c r="D4" s="15" t="str">
        <x:v>Domestic</x:v>
      </x:c>
      <x:c r="E4" s="15" t="str">
        <x:v>Registered</x:v>
      </x:c>
      <x:c r="F4" s="15" t="str">
        <x:v>Listed by Lok Sabha reply dated 2024-12-02</x:v>
      </x:c>
      <x:c r="G4" s="15" t="str">
        <x:v>Bengaluru, India</x:v>
      </x:c>
      <x:c r="H4" s="15" t="str">
        <x:v>Sathvik Vishwanath; Sunny Ray; Harish B.V.</x:v>
      </x:c>
      <x:c r="I4" s="15" t="str">
        <x:v>Spot trading, Systematic Buying Plan, crypto-backed lending, mobile bill pay via BTC, DTH recharge, gold trading, merchant services</x:v>
      </x:c>
      <x:c r="J4" s="15" t="str">
        <x:v>~2M+</x:v>
      </x:c>
      <x:c r="K4" s="15" t="str">
        <x:v>~2% market share</x:v>
      </x:c>
      <x:c r="L4" s="15" t="str">
        <x:v>Spot only</x:v>
      </x:c>
      <x:c r="M4" s="15" t="str">
        <x:v>No major incident identified in uploaded sources</x:v>
      </x:c>
      <x:c r="N4" s="15" t="str">
        <x:v>GST evasion detected ₹3.77 Cr; recovery ₹5.82 Cr in Parliamentary annexure</x:v>
      </x:c>
      <x:c r="O4" s="15" t="str">
        <x:v>Auto TDS / spot compliance requires exchange-level verification</x:v>
      </x:c>
      <x:c r="P4" s="15" t="str">
        <x:v>Active</x:v>
      </x:c>
      <x:c r="Q4" s="15" t="str">
        <x:v>SPOT ONLY</x:v>
      </x:c>
      <x:c r="R4" s="15" t="str">
        <x:v>Tier 2 - Product/tax monitoring</x:v>
      </x:c>
      <x:c r="S4" s="18" t="str">
        <x:v>2026-05-11</x:v>
      </x:c>
      <x:c r="T4" s="15" t="str">
        <x:v>Lok Sabha Annexure-A/B; Products Study; Derivatives Research active profile</x:v>
      </x:c>
      <x:c r="U4" s="15" t="str">
        <x:v>Medium</x:v>
      </x:c>
      <x:c r="V4" s="20" t="n">
        <x:f>COUNTA(A4:U4)/COLUMNS(A4:U4)</x:f>
        <x:v>1</x:v>
      </x:c>
      <x:c r="W4" s="15" t="str">
        <x:f>IF(OR(Q4="EXTREME",ISNUMBER(SEARCH("Tier 1",R4))),"Immediate audit / evidence pack",IF(OR(Q4="VERY HIGH",ISNUMBER(SEARCH("Tier 2",R4))),"Enhanced monitoring","Complete data verification"))</x:f>
        <x:v>Enhanced monitoring</x:v>
      </x:c>
    </x:row>
    <x:row r="5">
      <x:c r="A5" s="15" t="n">
        <x:v>4</x:v>
      </x:c>
      <x:c r="B5" s="15" t="str">
        <x:v>Buyhatke Internet Private Limited</x:v>
      </x:c>
      <x:c r="C5" s="15" t="str">
        <x:v>Onramp</x:v>
      </x:c>
      <x:c r="D5" s="15" t="str">
        <x:v>Domestic</x:v>
      </x:c>
      <x:c r="E5" s="15" t="str">
        <x:v>Registered</x:v>
      </x:c>
      <x:c r="F5" s="15" t="str">
        <x:v>Listed by Lok Sabha reply dated 2024-12-02</x:v>
      </x:c>
      <x:c r="G5" s="15" t="str">
        <x:v>India - exact HQ requires verification</x:v>
      </x:c>
      <x:c r="H5" s="15" t="str">
        <x:v>Requires verification</x:v>
      </x:c>
      <x:c r="I5" s="15" t="str">
        <x:v>On-ramp / buy-sell VDA services; detailed product mapping pending</x:v>
      </x:c>
      <x:c r="J5" s="15" t="str">
        <x:v>Not disclosed</x:v>
      </x:c>
      <x:c r="K5" s="15" t="str">
        <x:v>Not disclosed</x:v>
      </x:c>
      <x:c r="L5" s="15" t="str">
        <x:v>Not disclosed</x:v>
      </x:c>
      <x:c r="M5" s="15" t="str">
        <x:v>No major incident identified in uploaded sources</x:v>
      </x:c>
      <x:c r="N5" s="15" t="str">
        <x:v>No GST case listed in Lok Sabha Annexure-B</x:v>
      </x:c>
      <x:c r="O5" s="15" t="str">
        <x:v>Unknown / requires verification</x:v>
      </x:c>
      <x:c r="P5" s="15" t="str">
        <x:v>Active / registered as per source</x:v>
      </x:c>
      <x:c r="Q5" s="15" t="str">
        <x:v>UNDER REVIEW</x:v>
      </x:c>
      <x:c r="R5" s="15" t="str">
        <x:v>Tier 3 - Data buildout</x:v>
      </x:c>
      <x:c r="S5" s="18" t="str">
        <x:v>2026-05-11</x:v>
      </x:c>
      <x:c r="T5" s="15" t="str">
        <x:v>Lok Sabha Annexure-A</x:v>
      </x:c>
      <x:c r="U5" s="15" t="str">
        <x:v>Low</x:v>
      </x:c>
      <x:c r="V5" s="20" t="n">
        <x:f>COUNTA(A5:U5)/COLUMNS(A5:U5)</x:f>
        <x:v>1</x:v>
      </x:c>
      <x:c r="W5" s="15" t="str">
        <x:f>IF(OR(Q5="EXTREME",ISNUMBER(SEARCH("Tier 1",R5))),"Immediate audit / evidence pack",IF(OR(Q5="VERY HIGH",ISNUMBER(SEARCH("Tier 2",R5))),"Enhanced monitoring","Complete data verification"))</x:f>
        <x:v>Complete data verification</x:v>
      </x:c>
    </x:row>
    <x:row r="6">
      <x:c r="A6" s="15" t="n">
        <x:v>5</x:v>
      </x:c>
      <x:c r="B6" s="15" t="str">
        <x:v>Giottus Technologies Pvt Ltd</x:v>
      </x:c>
      <x:c r="C6" s="15" t="str">
        <x:v>Giottus</x:v>
      </x:c>
      <x:c r="D6" s="15" t="str">
        <x:v>Domestic</x:v>
      </x:c>
      <x:c r="E6" s="15" t="str">
        <x:v>Registered</x:v>
      </x:c>
      <x:c r="F6" s="15" t="str">
        <x:v>Listed by Lok Sabha reply dated 2024-12-02</x:v>
      </x:c>
      <x:c r="G6" s="15" t="str">
        <x:v>Chennai, India</x:v>
      </x:c>
      <x:c r="H6" s="15" t="str">
        <x:v>Vikram Subburaj; Arjun Vijay</x:v>
      </x:c>
      <x:c r="I6" s="15" t="str">
        <x:v>Spot trading, quick buy/sell, crypto SIP, staking, earn products, referral rewards, INR deposits</x:v>
      </x:c>
      <x:c r="J6" s="15" t="str">
        <x:v>~300K</x:v>
      </x:c>
      <x:c r="K6" s="15" t="str">
        <x:v>~0.8% market share</x:v>
      </x:c>
      <x:c r="L6" s="15" t="str">
        <x:v>10x</x:v>
      </x:c>
      <x:c r="M6" s="15" t="str">
        <x:v>No major incident identified in uploaded sources</x:v>
      </x:c>
      <x:c r="N6" s="15" t="str">
        <x:v>GST evasion detected ₹3.85 Cr; recovery ₹5.31 Cr in Parliamentary annexure; tax dossier flags show-cause need on derivative-tax communication</x:v>
      </x:c>
      <x:c r="O6" s="15" t="str">
        <x:v>Spot TDS status requires verification; derivative/product TDS requires audit</x:v>
      </x:c>
      <x:c r="P6" s="15" t="str">
        <x:v>Active</x:v>
      </x:c>
      <x:c r="Q6" s="15" t="str">
        <x:v>LOW-MOD</x:v>
      </x:c>
      <x:c r="R6" s="15" t="str">
        <x:v>Tier 2 - Product/tax monitoring</x:v>
      </x:c>
      <x:c r="S6" s="18" t="str">
        <x:v>2026-05-11</x:v>
      </x:c>
      <x:c r="T6" s="15" t="str">
        <x:v>Lok Sabha Annexure-A/B; Products Study; Derivatives Research</x:v>
      </x:c>
      <x:c r="U6" s="15" t="str">
        <x:v>Medium</x:v>
      </x:c>
      <x:c r="V6" s="20" t="n">
        <x:f>COUNTA(A6:U6)/COLUMNS(A6:U6)</x:f>
        <x:v>1</x:v>
      </x:c>
      <x:c r="W6" s="15" t="str">
        <x:f>IF(OR(Q6="EXTREME",ISNUMBER(SEARCH("Tier 1",R6))),"Immediate audit / evidence pack",IF(OR(Q6="VERY HIGH",ISNUMBER(SEARCH("Tier 2",R6))),"Enhanced monitoring","Complete data verification"))</x:f>
        <x:v>Enhanced monitoring</x:v>
      </x:c>
    </x:row>
    <x:row r="7">
      <x:c r="A7" s="15" t="n">
        <x:v>6</x:v>
      </x:c>
      <x:c r="B7" s="15" t="str">
        <x:v>Bitbns Internet Private Limited</x:v>
      </x:c>
      <x:c r="C7" s="15" t="str">
        <x:v>Bitbns</x:v>
      </x:c>
      <x:c r="D7" s="15" t="str">
        <x:v>Domestic</x:v>
      </x:c>
      <x:c r="E7" s="15" t="str">
        <x:v>Registered</x:v>
      </x:c>
      <x:c r="F7" s="15" t="str">
        <x:v>Listed by Lok Sabha reply dated 2024-12-02</x:v>
      </x:c>
      <x:c r="G7" s="15" t="str">
        <x:v>Bengaluru, India</x:v>
      </x:c>
      <x:c r="H7" s="15" t="str">
        <x:v>Gaurav Dahake</x:v>
      </x:c>
      <x:c r="I7" s="15" t="str">
        <x:v>Spot, margin, crypto SIP, lending/fixed-income products, staking, FIP, Barnbridge yield products, NFT marketplace</x:v>
      </x:c>
      <x:c r="J7" s="15" t="str">
        <x:v>~1.5M+</x:v>
      </x:c>
      <x:c r="K7" s="15" t="str">
        <x:v>~79% spot reference in active profile</x:v>
      </x:c>
      <x:c r="L7" s="15" t="str">
        <x:v>50x</x:v>
      </x:c>
      <x:c r="M7" s="15" t="str">
        <x:v>Ongoing fund concern case study noted in tax black-hole report; requires verification</x:v>
      </x:c>
      <x:c r="N7" s="15" t="str">
        <x:v>No GST case listed under this legal entity in Lok Sabha Annexure-B</x:v>
      </x:c>
      <x:c r="O7" s="15" t="str">
        <x:v>Spot TDS requires verification; lending/staking/product tax treatment requires audit</x:v>
      </x:c>
      <x:c r="P7" s="15" t="str">
        <x:v>Active / monitor closely</x:v>
      </x:c>
      <x:c r="Q7" s="15" t="str">
        <x:v>HIGH</x:v>
      </x:c>
      <x:c r="R7" s="15" t="str">
        <x:v>Tier 1 - High supervision</x:v>
      </x:c>
      <x:c r="S7" s="18" t="str">
        <x:v>2026-05-11</x:v>
      </x:c>
      <x:c r="T7" s="15" t="str">
        <x:v>Lok Sabha Annexure-A; Products Study; Derivatives Research; Tax Black Hole Analysis</x:v>
      </x:c>
      <x:c r="U7" s="15" t="str">
        <x:v>Medium</x:v>
      </x:c>
      <x:c r="V7" s="20" t="n">
        <x:f>COUNTA(A7:U7)/COLUMNS(A7:U7)</x:f>
        <x:v>1</x:v>
      </x:c>
      <x:c r="W7" s="15" t="str">
        <x:f>IF(OR(Q7="EXTREME",ISNUMBER(SEARCH("Tier 1",R7))),"Immediate audit / evidence pack",IF(OR(Q7="VERY HIGH",ISNUMBER(SEARCH("Tier 2",R7))),"Enhanced monitoring","Complete data verification"))</x:f>
        <x:v>Immediate audit / evidence pack</x:v>
      </x:c>
    </x:row>
    <x:row r="8">
      <x:c r="A8" s="15" t="n">
        <x:v>7</x:v>
      </x:c>
      <x:c r="B8" s="15" t="str">
        <x:v>Awlencan Innovations India Limited</x:v>
      </x:c>
      <x:c r="C8" s="15" t="str">
        <x:v>ZebPay</x:v>
      </x:c>
      <x:c r="D8" s="15" t="str">
        <x:v>Domestic</x:v>
      </x:c>
      <x:c r="E8" s="15" t="str">
        <x:v>Registered</x:v>
      </x:c>
      <x:c r="F8" s="15" t="str">
        <x:v>Listed by Lok Sabha reply dated 2024-12-02</x:v>
      </x:c>
      <x:c r="G8" s="15" t="str">
        <x:v>Mumbai / Ahmedabad history; India operations</x:v>
      </x:c>
      <x:c r="H8" s="15" t="str">
        <x:v>Sandeep Goenka; Saurabh Agrawal; Mahin Gupta</x:v>
      </x:c>
      <x:c r="I8" s="15" t="str">
        <x:v>Spot, crypto SIP, ZebPay Earn, staking, lending, Lightning Network, recurring buy, OTC desk</x:v>
      </x:c>
      <x:c r="J8" s="15" t="str">
        <x:v>~1M+</x:v>
      </x:c>
      <x:c r="K8" s="15" t="str">
        <x:v>~3% market share</x:v>
      </x:c>
      <x:c r="L8" s="15" t="str">
        <x:v>10x</x:v>
      </x:c>
      <x:c r="M8" s="15" t="str">
        <x:v>No major incident identified in uploaded sources</x:v>
      </x:c>
      <x:c r="N8" s="15" t="str">
        <x:v>GST evasion detected ₹7.00 Cr for Awlencan Innovations India Ltd (ZebPay); recovery ₹10.63 Cr</x:v>
      </x:c>
      <x:c r="O8" s="15" t="str">
        <x:v>Auto TDS generally reported for spot; earn/staking tax treatment needs audit</x:v>
      </x:c>
      <x:c r="P8" s="15" t="str">
        <x:v>Active</x:v>
      </x:c>
      <x:c r="Q8" s="15" t="str">
        <x:v>MODERATE</x:v>
      </x:c>
      <x:c r="R8" s="15" t="str">
        <x:v>Tier 2 - Product/tax monitoring</x:v>
      </x:c>
      <x:c r="S8" s="18" t="str">
        <x:v>2026-05-11</x:v>
      </x:c>
      <x:c r="T8" s="15" t="str">
        <x:v>Lok Sabha Annexure-A/B; Products Study; Derivatives Research</x:v>
      </x:c>
      <x:c r="U8" s="15" t="str">
        <x:v>Medium</x:v>
      </x:c>
      <x:c r="V8" s="20" t="n">
        <x:f>COUNTA(A8:U8)/COLUMNS(A8:U8)</x:f>
        <x:v>1</x:v>
      </x:c>
      <x:c r="W8" s="15" t="str">
        <x:f>IF(OR(Q8="EXTREME",ISNUMBER(SEARCH("Tier 1",R8))),"Immediate audit / evidence pack",IF(OR(Q8="VERY HIGH",ISNUMBER(SEARCH("Tier 2",R8))),"Enhanced monitoring","Complete data verification"))</x:f>
        <x:v>Enhanced monitoring</x:v>
      </x:c>
    </x:row>
    <x:row r="9">
      <x:c r="A9" s="15" t="n">
        <x:v>8</x:v>
      </x:c>
      <x:c r="B9" s="15" t="str">
        <x:v>Zanmai Labs Pvt Ltd</x:v>
      </x:c>
      <x:c r="C9" s="15" t="str">
        <x:v>WazirX</x:v>
      </x:c>
      <x:c r="D9" s="15" t="str">
        <x:v>Domestic</x:v>
      </x:c>
      <x:c r="E9" s="15" t="str">
        <x:v>Registered</x:v>
      </x:c>
      <x:c r="F9" s="15" t="str">
        <x:v>Listed by Lok Sabha reply dated 2024-12-02</x:v>
      </x:c>
      <x:c r="G9" s="15" t="str">
        <x:v>Mumbai, India</x:v>
      </x:c>
      <x:c r="H9" s="15" t="str">
        <x:v>Nischal Shetty; Sameer Mhatre; Siddharth Menon</x:v>
      </x:c>
      <x:c r="I9" s="15" t="str">
        <x:v>Spot, P2P, quick buy/sell, STX smart token fund, NFT marketplace, staking, earn, crypto SIP</x:v>
      </x:c>
      <x:c r="J9" s="15" t="str">
        <x:v>~16M</x:v>
      </x:c>
      <x:c r="K9" s="15" t="str">
        <x:v>~8% market share</x:v>
      </x:c>
      <x:c r="L9" s="15" t="str">
        <x:v>30x</x:v>
      </x:c>
      <x:c r="M9" s="15" t="str">
        <x:v>July 2024 WazirX hack noted at approx ₹2,000 Cr / $234.9M; users affected; legal restructuring issues noted</x:v>
      </x:c>
      <x:c r="N9" s="15" t="str">
        <x:v>GST evasion detected ₹40.51 Cr; recovery ₹49.18 Cr in Parliamentary annexure; tax dossier flags TDS/revenue issues as suspected</x:v>
      </x:c>
      <x:c r="O9" s="15" t="str">
        <x:v>Auto TDS for spot requires verification; historic derivative/P2P reporting requires audit</x:v>
      </x:c>
      <x:c r="P9" s="15" t="str">
        <x:v>Active but extreme-risk monitoring required</x:v>
      </x:c>
      <x:c r="Q9" s="15" t="str">
        <x:v>EXTREME</x:v>
      </x:c>
      <x:c r="R9" s="15" t="str">
        <x:v>Tier 1 - Critical watchlist</x:v>
      </x:c>
      <x:c r="S9" s="18" t="str">
        <x:v>2026-05-11</x:v>
      </x:c>
      <x:c r="T9" s="15" t="str">
        <x:v>Lok Sabha Annexure-A/B; Products Study; Derivatives Research; Tax Dossier</x:v>
      </x:c>
      <x:c r="U9" s="15" t="str">
        <x:v>High for incident/GST/products; Medium for current operations</x:v>
      </x:c>
      <x:c r="V9" s="20" t="n">
        <x:f>COUNTA(A9:U9)/COLUMNS(A9:U9)</x:f>
        <x:v>1</x:v>
      </x:c>
      <x:c r="W9" s="15" t="str">
        <x:f>IF(OR(Q9="EXTREME",ISNUMBER(SEARCH("Tier 1",R9))),"Immediate audit / evidence pack",IF(OR(Q9="VERY HIGH",ISNUMBER(SEARCH("Tier 2",R9))),"Enhanced monitoring","Complete data verification"))</x:f>
        <x:v>Immediate audit / evidence pack</x:v>
      </x:c>
    </x:row>
    <x:row r="10">
      <x:c r="A10" s="15" t="n">
        <x:v>9</x:v>
      </x:c>
      <x:c r="B10" s="15" t="str">
        <x:v>Bitcipher Labs LLP</x:v>
      </x:c>
      <x:c r="C10" s="15" t="str">
        <x:v>CoinSwitch</x:v>
      </x:c>
      <x:c r="D10" s="15" t="str">
        <x:v>Domestic</x:v>
      </x:c>
      <x:c r="E10" s="15" t="str">
        <x:v>Registered</x:v>
      </x:c>
      <x:c r="F10" s="15" t="str">
        <x:v>Listed by Lok Sabha reply dated 2024-12-02</x:v>
      </x:c>
      <x:c r="G10" s="15" t="str">
        <x:v>Bengaluru, India</x:v>
      </x:c>
      <x:c r="H10" s="15" t="str">
        <x:v>Ashish Singhal; Govind Soni; Vimal Sagar Tiwari</x:v>
      </x:c>
      <x:c r="I10" s="15" t="str">
        <x:v>Spot, options (BTC/ETH/SOL in USDT &amp; INR), futures, SmartInvest/SIP, PRO trading/API, lending, staking, portfolio tracker</x:v>
      </x:c>
      <x:c r="J10" s="15" t="str">
        <x:v>~25M</x:v>
      </x:c>
      <x:c r="K10" s="15" t="str">
        <x:v>~18% market share</x:v>
      </x:c>
      <x:c r="L10" s="15" t="str">
        <x:v>30x</x:v>
      </x:c>
      <x:c r="M10" s="15" t="str">
        <x:v>No major security incident identified in uploaded sources; ED/FEMA inquiry noted in tax dossier as alleged/suspected</x:v>
      </x:c>
      <x:c r="N10" s="15" t="str">
        <x:v>GST evasion detected ₹14.13 Cr; recovery ₹19.38 Cr in Parliamentary annexure</x:v>
      </x:c>
      <x:c r="O10" s="15" t="str">
        <x:v>Auto TDS generally reported for spot; tax guide noted derivative gap; derivatives TDS requires audit</x:v>
      </x:c>
      <x:c r="P10" s="15" t="str">
        <x:v>Active</x:v>
      </x:c>
      <x:c r="Q10" s="15" t="str">
        <x:v>HIGH</x:v>
      </x:c>
      <x:c r="R10" s="15" t="str">
        <x:v>Tier 1 - High supervision</x:v>
      </x:c>
      <x:c r="S10" s="18" t="str">
        <x:v>2026-05-11</x:v>
      </x:c>
      <x:c r="T10" s="15" t="str">
        <x:v>Lok Sabha Annexure-A/B; Products Study; Derivatives Research; Tax Dossier</x:v>
      </x:c>
      <x:c r="U10" s="15" t="str">
        <x:v>High for products/GST; Medium for tax guide</x:v>
      </x:c>
      <x:c r="V10" s="20" t="n">
        <x:f>COUNTA(A10:U10)/COLUMNS(A10:U10)</x:f>
        <x:v>1</x:v>
      </x:c>
      <x:c r="W10" s="15" t="str">
        <x:f>IF(OR(Q10="EXTREME",ISNUMBER(SEARCH("Tier 1",R10))),"Immediate audit / evidence pack",IF(OR(Q10="VERY HIGH",ISNUMBER(SEARCH("Tier 2",R10))),"Enhanced monitoring","Complete data verification"))</x:f>
        <x:v>Immediate audit / evidence pack</x:v>
      </x:c>
    </x:row>
    <x:row r="11">
      <x:c r="A11" s="15" t="n">
        <x:v>10</x:v>
      </x:c>
      <x:c r="B11" s="15" t="str">
        <x:v>Nextgendev Solutions Private Limited</x:v>
      </x:c>
      <x:c r="C11" s="15" t="str">
        <x:v>CoinSwitchX</x:v>
      </x:c>
      <x:c r="D11" s="15" t="str">
        <x:v>Domestic</x:v>
      </x:c>
      <x:c r="E11" s="15" t="str">
        <x:v>Registered</x:v>
      </x:c>
      <x:c r="F11" s="15" t="str">
        <x:v>Listed by Lok Sabha reply dated 2024-12-02</x:v>
      </x:c>
      <x:c r="G11" s="15" t="str">
        <x:v>India - exact HQ requires verification</x:v>
      </x:c>
      <x:c r="H11" s="15" t="str">
        <x:v>Requires verification</x:v>
      </x:c>
      <x:c r="I11" s="15" t="str">
        <x:v>CoinSwitch-related / VDA service provider; detailed products require verification</x:v>
      </x:c>
      <x:c r="J11" s="15" t="str">
        <x:v>Not disclosed</x:v>
      </x:c>
      <x:c r="K11" s="15" t="str">
        <x:v>Not disclosed</x:v>
      </x:c>
      <x:c r="L11" s="15" t="str">
        <x:v>Not disclosed</x:v>
      </x:c>
      <x:c r="M11" s="15" t="str">
        <x:v>No major incident identified in uploaded sources</x:v>
      </x:c>
      <x:c r="N11" s="15" t="str">
        <x:v>No GST case listed in Lok Sabha Annexure-B under this entity</x:v>
      </x:c>
      <x:c r="O11" s="15" t="str">
        <x:v>Unknown / requires verification</x:v>
      </x:c>
      <x:c r="P11" s="15" t="str">
        <x:v>Active / registered as per source</x:v>
      </x:c>
      <x:c r="Q11" s="15" t="str">
        <x:v>UNDER REVIEW</x:v>
      </x:c>
      <x:c r="R11" s="15" t="str">
        <x:v>Tier 3 - Data buildout</x:v>
      </x:c>
      <x:c r="S11" s="18" t="str">
        <x:v>2026-05-11</x:v>
      </x:c>
      <x:c r="T11" s="15" t="str">
        <x:v>Lok Sabha Annexure-A</x:v>
      </x:c>
      <x:c r="U11" s="15" t="str">
        <x:v>Low</x:v>
      </x:c>
      <x:c r="V11" s="20" t="n">
        <x:f>COUNTA(A11:U11)/COLUMNS(A11:U11)</x:f>
        <x:v>1</x:v>
      </x:c>
      <x:c r="W11" s="15" t="str">
        <x:f>IF(OR(Q11="EXTREME",ISNUMBER(SEARCH("Tier 1",R11))),"Immediate audit / evidence pack",IF(OR(Q11="VERY HIGH",ISNUMBER(SEARCH("Tier 2",R11))),"Enhanced monitoring","Complete data verification"))</x:f>
        <x:v>Complete data verification</x:v>
      </x:c>
    </x:row>
    <x:row r="12">
      <x:c r="A12" s="15" t="n">
        <x:v>11</x:v>
      </x:c>
      <x:c r="B12" s="15" t="str">
        <x:v>RPFAS Technologies Pvt Ltd</x:v>
      </x:c>
      <x:c r="C12" s="15" t="str">
        <x:v>Mudrex</x:v>
      </x:c>
      <x:c r="D12" s="15" t="str">
        <x:v>Domestic</x:v>
      </x:c>
      <x:c r="E12" s="15" t="str">
        <x:v>Registered</x:v>
      </x:c>
      <x:c r="F12" s="15" t="str">
        <x:v>Listed by Lok Sabha reply dated 2024-12-02</x:v>
      </x:c>
      <x:c r="G12" s="15" t="str">
        <x:v>Bengaluru, India / global operations</x:v>
      </x:c>
      <x:c r="H12" s="15" t="str">
        <x:v>Edul Patel; Rohit Goyal; Alankar Saxena; Prince Arora</x:v>
      </x:c>
      <x:c r="I12" s="15" t="str">
        <x:v>Spot, futures (100x), coin sets, staking 40+ tokens, crypto SIP, earn, Mudrex Prime OTC, AI investing tools, Vault passive returns</x:v>
      </x:c>
      <x:c r="J12" s="15" t="str">
        <x:v>~500K</x:v>
      </x:c>
      <x:c r="K12" s="15" t="str">
        <x:v>~0.5% market share</x:v>
      </x:c>
      <x:c r="L12" s="15" t="str">
        <x:v>Spot only in active profile; products study flags futures 100x</x:v>
      </x:c>
      <x:c r="M12" s="15" t="str">
        <x:v>No major incident identified in uploaded sources</x:v>
      </x:c>
      <x:c r="N12" s="15" t="str">
        <x:v>No GST case listed in Lok Sabha Annexure-B</x:v>
      </x:c>
      <x:c r="O12" s="15" t="str">
        <x:v>Spot TDS requires verification; coin sets/earn/staking/futures product tax treatment requires audit</x:v>
      </x:c>
      <x:c r="P12" s="15" t="str">
        <x:v>Active</x:v>
      </x:c>
      <x:c r="Q12" s="15" t="str">
        <x:v>SPOT ONLY / PRODUCT RISK</x:v>
      </x:c>
      <x:c r="R12" s="15" t="str">
        <x:v>Tier 2 - Product/tax monitoring</x:v>
      </x:c>
      <x:c r="S12" s="18" t="str">
        <x:v>2026-05-11</x:v>
      </x:c>
      <x:c r="T12" s="15" t="str">
        <x:v>Lok Sabha Annexure-A; Products Study; Derivatives Research</x:v>
      </x:c>
      <x:c r="U12" s="15" t="str">
        <x:v>Medium</x:v>
      </x:c>
      <x:c r="V12" s="20" t="n">
        <x:f>COUNTA(A12:U12)/COLUMNS(A12:U12)</x:f>
        <x:v>1</x:v>
      </x:c>
      <x:c r="W12" s="15" t="str">
        <x:f>IF(OR(Q12="EXTREME",ISNUMBER(SEARCH("Tier 1",R12))),"Immediate audit / evidence pack",IF(OR(Q12="VERY HIGH",ISNUMBER(SEARCH("Tier 2",R12))),"Enhanced monitoring","Complete data verification"))</x:f>
        <x:v>Enhanced monitoring</x:v>
      </x:c>
    </x:row>
    <x:row r="13">
      <x:c r="A13" s="15" t="n">
        <x:v>12</x:v>
      </x:c>
      <x:c r="B13" s="15" t="str">
        <x:v>IBLOCK Technologies Pvt Ltd</x:v>
      </x:c>
      <x:c r="C13" s="15" t="str">
        <x:v>BuyUcoin</x:v>
      </x:c>
      <x:c r="D13" s="15" t="str">
        <x:v>Domestic</x:v>
      </x:c>
      <x:c r="E13" s="15" t="str">
        <x:v>Registered</x:v>
      </x:c>
      <x:c r="F13" s="15" t="str">
        <x:v>Listed by Lok Sabha reply dated 2024-12-02</x:v>
      </x:c>
      <x:c r="G13" s="15" t="str">
        <x:v>Delhi, India</x:v>
      </x:c>
      <x:c r="H13" s="15" t="str">
        <x:v>Shivam Thakral; Devesh Aggarwal; Atulya Bhatt</x:v>
      </x:c>
      <x:c r="I13" s="15" t="str">
        <x:v>Spot, SCIP/SIP, NFT marketplace, OTC desk, staking, Bitcoin rebates, crypto SIP</x:v>
      </x:c>
      <x:c r="J13" s="15" t="str">
        <x:v>~1.5M</x:v>
      </x:c>
      <x:c r="K13" s="15" t="str">
        <x:v>~1.5% market share</x:v>
      </x:c>
      <x:c r="L13" s="15" t="str">
        <x:v>20x</x:v>
      </x:c>
      <x:c r="M13" s="15" t="str">
        <x:v>No major incident identified in uploaded sources</x:v>
      </x:c>
      <x:c r="N13" s="15" t="str">
        <x:v>GST evasion detected ₹1.13 Cr; recovery ₹1.56 Cr</x:v>
      </x:c>
      <x:c r="O13" s="15" t="str">
        <x:v>Auto TDS requires verification</x:v>
      </x:c>
      <x:c r="P13" s="15" t="str">
        <x:v>Active</x:v>
      </x:c>
      <x:c r="Q13" s="15" t="str">
        <x:v>MODERATE</x:v>
      </x:c>
      <x:c r="R13" s="15" t="str">
        <x:v>Tier 2 - Product/tax monitoring</x:v>
      </x:c>
      <x:c r="S13" s="18" t="str">
        <x:v>2026-05-11</x:v>
      </x:c>
      <x:c r="T13" s="15" t="str">
        <x:v>Lok Sabha Annexure-A/B; Products Study; Derivatives Research</x:v>
      </x:c>
      <x:c r="U13" s="15" t="str">
        <x:v>Medium</x:v>
      </x:c>
      <x:c r="V13" s="20" t="n">
        <x:f>COUNTA(A13:U13)/COLUMNS(A13:U13)</x:f>
        <x:v>1</x:v>
      </x:c>
      <x:c r="W13" s="15" t="str">
        <x:f>IF(OR(Q13="EXTREME",ISNUMBER(SEARCH("Tier 1",R13))),"Immediate audit / evidence pack",IF(OR(Q13="VERY HIGH",ISNUMBER(SEARCH("Tier 2",R13))),"Enhanced monitoring","Complete data verification"))</x:f>
        <x:v>Enhanced monitoring</x:v>
      </x:c>
    </x:row>
    <x:row r="14">
      <x:c r="A14" s="15" t="n">
        <x:v>13</x:v>
      </x:c>
      <x:c r="B14" s="15" t="str">
        <x:v>WOLLFISH Labs Pvt Ltd</x:v>
      </x:c>
      <x:c r="C14" s="15" t="str">
        <x:v>Coindhan</x:v>
      </x:c>
      <x:c r="D14" s="15" t="str">
        <x:v>Domestic</x:v>
      </x:c>
      <x:c r="E14" s="15" t="str">
        <x:v>Registered</x:v>
      </x:c>
      <x:c r="F14" s="15" t="str">
        <x:v>Listed by Lok Sabha reply dated 2024-12-02</x:v>
      </x:c>
      <x:c r="G14" s="15" t="str">
        <x:v>India - exact HQ requires verification</x:v>
      </x:c>
      <x:c r="H14" s="15" t="str">
        <x:v>Requires verification</x:v>
      </x:c>
      <x:c r="I14" s="15" t="str">
        <x:v>VDA services; detailed product mapping pending</x:v>
      </x:c>
      <x:c r="J14" s="15" t="str">
        <x:v>Not disclosed</x:v>
      </x:c>
      <x:c r="K14" s="15" t="str">
        <x:v>Not disclosed</x:v>
      </x:c>
      <x:c r="L14" s="15" t="str">
        <x:v>Not disclosed</x:v>
      </x:c>
      <x:c r="M14" s="15" t="str">
        <x:v>No major incident identified in uploaded sources</x:v>
      </x:c>
      <x:c r="N14" s="15" t="str">
        <x:v>No GST case listed in Lok Sabha Annexure-B</x:v>
      </x:c>
      <x:c r="O14" s="15" t="str">
        <x:v>Unknown / requires verification</x:v>
      </x:c>
      <x:c r="P14" s="15" t="str">
        <x:v>Active / registered as per source</x:v>
      </x:c>
      <x:c r="Q14" s="15" t="str">
        <x:v>UNDER REVIEW</x:v>
      </x:c>
      <x:c r="R14" s="15" t="str">
        <x:v>Tier 3 - Data buildout</x:v>
      </x:c>
      <x:c r="S14" s="18" t="str">
        <x:v>2026-05-11</x:v>
      </x:c>
      <x:c r="T14" s="15" t="str">
        <x:v>Lok Sabha Annexure-A</x:v>
      </x:c>
      <x:c r="U14" s="15" t="str">
        <x:v>Low</x:v>
      </x:c>
      <x:c r="V14" s="20" t="n">
        <x:f>COUNTA(A14:U14)/COLUMNS(A14:U14)</x:f>
        <x:v>1</x:v>
      </x:c>
      <x:c r="W14" s="15" t="str">
        <x:f>IF(OR(Q14="EXTREME",ISNUMBER(SEARCH("Tier 1",R14))),"Immediate audit / evidence pack",IF(OR(Q14="VERY HIGH",ISNUMBER(SEARCH("Tier 2",R14))),"Enhanced monitoring","Complete data verification"))</x:f>
        <x:v>Complete data verification</x:v>
      </x:c>
    </x:row>
    <x:row r="15">
      <x:c r="A15" s="15" t="n">
        <x:v>14</x:v>
      </x:c>
      <x:c r="B15" s="15" t="str">
        <x:v>Rario Digital Private Limited</x:v>
      </x:c>
      <x:c r="C15" s="15" t="str">
        <x:v>Rario</x:v>
      </x:c>
      <x:c r="D15" s="15" t="str">
        <x:v>Domestic</x:v>
      </x:c>
      <x:c r="E15" s="15" t="str">
        <x:v>Registered</x:v>
      </x:c>
      <x:c r="F15" s="15" t="str">
        <x:v>Listed by Lok Sabha reply dated 2024-12-02</x:v>
      </x:c>
      <x:c r="G15" s="15" t="str">
        <x:v>India / Singapore operations require verification</x:v>
      </x:c>
      <x:c r="H15" s="15" t="str">
        <x:v>Ankit Wadhwa; Sunny Bhanot (publicly associated, verify)</x:v>
      </x:c>
      <x:c r="I15" s="15" t="str">
        <x:v>NFT/digital collectibles; sports collectibles</x:v>
      </x:c>
      <x:c r="J15" s="15" t="str">
        <x:v>Not disclosed</x:v>
      </x:c>
      <x:c r="K15" s="15" t="str">
        <x:v>Not disclosed</x:v>
      </x:c>
      <x:c r="L15" s="15" t="str">
        <x:v>Not disclosed</x:v>
      </x:c>
      <x:c r="M15" s="15" t="str">
        <x:v>NFT marketplace/business disruption risk requires verification</x:v>
      </x:c>
      <x:c r="N15" s="15" t="str">
        <x:v>No GST case listed in Lok Sabha Annexure-B</x:v>
      </x:c>
      <x:c r="O15" s="15" t="str">
        <x:v>Unknown / NFT tax handling requires verification</x:v>
      </x:c>
      <x:c r="P15" s="15" t="str">
        <x:v>Active / registered as per source</x:v>
      </x:c>
      <x:c r="Q15" s="15" t="str">
        <x:v>UNDER REVIEW</x:v>
      </x:c>
      <x:c r="R15" s="15" t="str">
        <x:v>Tier 3 - NFT/product monitoring</x:v>
      </x:c>
      <x:c r="S15" s="18" t="str">
        <x:v>2026-05-11</x:v>
      </x:c>
      <x:c r="T15" s="15" t="str">
        <x:v>Lok Sabha Annexure-A</x:v>
      </x:c>
      <x:c r="U15" s="15" t="str">
        <x:v>Low-Medium</x:v>
      </x:c>
      <x:c r="V15" s="20" t="n">
        <x:f>COUNTA(A15:U15)/COLUMNS(A15:U15)</x:f>
        <x:v>1</x:v>
      </x:c>
      <x:c r="W15" s="15" t="str">
        <x:f>IF(OR(Q15="EXTREME",ISNUMBER(SEARCH("Tier 1",R15))),"Immediate audit / evidence pack",IF(OR(Q15="VERY HIGH",ISNUMBER(SEARCH("Tier 2",R15))),"Enhanced monitoring","Complete data verification"))</x:f>
        <x:v>Complete data verification</x:v>
      </x:c>
    </x:row>
    <x:row r="16">
      <x:c r="A16" s="15" t="n">
        <x:v>15</x:v>
      </x:c>
      <x:c r="B16" s="15" t="str">
        <x:v>Angelic Infotech Pvt Ltd</x:v>
      </x:c>
      <x:c r="C16" s="15" t="str">
        <x:v>Suncrypto</x:v>
      </x:c>
      <x:c r="D16" s="15" t="str">
        <x:v>Domestic</x:v>
      </x:c>
      <x:c r="E16" s="15" t="str">
        <x:v>Registered</x:v>
      </x:c>
      <x:c r="F16" s="15" t="str">
        <x:v>Listed by Lok Sabha reply dated 2024-12-02</x:v>
      </x:c>
      <x:c r="G16" s="15" t="str">
        <x:v>India - exact HQ requires verification</x:v>
      </x:c>
      <x:c r="H16" s="15" t="str">
        <x:v>Requires verification</x:v>
      </x:c>
      <x:c r="I16" s="15" t="str">
        <x:v>Spot, INR futures up to 150x, crypto SIP, staking, OTC desk, expert picks</x:v>
      </x:c>
      <x:c r="J16" s="15" t="str">
        <x:v>~400K</x:v>
      </x:c>
      <x:c r="K16" s="15" t="str">
        <x:v>Tier 2/3 participation noted</x:v>
      </x:c>
      <x:c r="L16" s="15" t="str">
        <x:v>150x</x:v>
      </x:c>
      <x:c r="M16" s="15" t="str">
        <x:v>No major incident identified in uploaded sources</x:v>
      </x:c>
      <x:c r="N16" s="15" t="str">
        <x:v>No GST case listed in Lok Sabha Annexure-B</x:v>
      </x:c>
      <x:c r="O16" s="15" t="str">
        <x:v>Derivative TDS/product tax requires audit</x:v>
      </x:c>
      <x:c r="P16" s="15" t="str">
        <x:v>Active</x:v>
      </x:c>
      <x:c r="Q16" s="15" t="str">
        <x:v>EXTREME</x:v>
      </x:c>
      <x:c r="R16" s="15" t="str">
        <x:v>Tier 1 - High leverage watchlist</x:v>
      </x:c>
      <x:c r="S16" s="18" t="str">
        <x:v>2026-05-11</x:v>
      </x:c>
      <x:c r="T16" s="15" t="str">
        <x:v>Lok Sabha Annexure-A; Products Study; Derivatives Research active profile</x:v>
      </x:c>
      <x:c r="U16" s="15" t="str">
        <x:v>Medium</x:v>
      </x:c>
      <x:c r="V16" s="20" t="n">
        <x:f>COUNTA(A16:U16)/COLUMNS(A16:U16)</x:f>
        <x:v>1</x:v>
      </x:c>
      <x:c r="W16" s="15" t="str">
        <x:f>IF(OR(Q16="EXTREME",ISNUMBER(SEARCH("Tier 1",R16))),"Immediate audit / evidence pack",IF(OR(Q16="VERY HIGH",ISNUMBER(SEARCH("Tier 2",R16))),"Enhanced monitoring","Complete data verification"))</x:f>
        <x:v>Immediate audit / evidence pack</x:v>
      </x:c>
    </x:row>
    <x:row r="17">
      <x:c r="A17" s="15" t="n">
        <x:v>16</x:v>
      </x:c>
      <x:c r="B17" s="15" t="str">
        <x:v>Carretx Technologies Pvt Ltd</x:v>
      </x:c>
      <x:c r="C17" s="15" t="str">
        <x:v>Carret</x:v>
      </x:c>
      <x:c r="D17" s="15" t="str">
        <x:v>Domestic</x:v>
      </x:c>
      <x:c r="E17" s="15" t="str">
        <x:v>Registered</x:v>
      </x:c>
      <x:c r="F17" s="15" t="str">
        <x:v>Listed by Lok Sabha reply dated 2024-12-02</x:v>
      </x:c>
      <x:c r="G17" s="15" t="str">
        <x:v>India - exact HQ requires verification</x:v>
      </x:c>
      <x:c r="H17" s="15" t="str">
        <x:v>Requires verification</x:v>
      </x:c>
      <x:c r="I17" s="15" t="str">
        <x:v>VDA services; detailed product mapping pending</x:v>
      </x:c>
      <x:c r="J17" s="15" t="str">
        <x:v>Not disclosed</x:v>
      </x:c>
      <x:c r="K17" s="15" t="str">
        <x:v>Not disclosed</x:v>
      </x:c>
      <x:c r="L17" s="15" t="str">
        <x:v>Not disclosed</x:v>
      </x:c>
      <x:c r="M17" s="15" t="str">
        <x:v>No major incident identified in uploaded sources</x:v>
      </x:c>
      <x:c r="N17" s="15" t="str">
        <x:v>No GST case listed in Lok Sabha Annexure-B</x:v>
      </x:c>
      <x:c r="O17" s="15" t="str">
        <x:v>Unknown / requires verification</x:v>
      </x:c>
      <x:c r="P17" s="15" t="str">
        <x:v>Active / registered as per source</x:v>
      </x:c>
      <x:c r="Q17" s="15" t="str">
        <x:v>UNDER REVIEW</x:v>
      </x:c>
      <x:c r="R17" s="15" t="str">
        <x:v>Tier 3 - Data buildout</x:v>
      </x:c>
      <x:c r="S17" s="18" t="str">
        <x:v>2026-05-11</x:v>
      </x:c>
      <x:c r="T17" s="15" t="str">
        <x:v>Lok Sabha Annexure-A</x:v>
      </x:c>
      <x:c r="U17" s="15" t="str">
        <x:v>Low</x:v>
      </x:c>
      <x:c r="V17" s="20" t="n">
        <x:f>COUNTA(A17:U17)/COLUMNS(A17:U17)</x:f>
        <x:v>1</x:v>
      </x:c>
      <x:c r="W17" s="15" t="str">
        <x:f>IF(OR(Q17="EXTREME",ISNUMBER(SEARCH("Tier 1",R17))),"Immediate audit / evidence pack",IF(OR(Q17="VERY HIGH",ISNUMBER(SEARCH("Tier 2",R17))),"Enhanced monitoring","Complete data verification"))</x:f>
        <x:v>Complete data verification</x:v>
      </x:c>
    </x:row>
    <x:row r="18">
      <x:c r="A18" s="15" t="n">
        <x:v>17</x:v>
      </x:c>
      <x:c r="B18" s="15" t="str">
        <x:v>Ante Multimedia Pvt Ltd</x:v>
      </x:c>
      <x:c r="C18" s="15" t="str">
        <x:v>-</x:v>
      </x:c>
      <x:c r="D18" s="15" t="str">
        <x:v>Domestic</x:v>
      </x:c>
      <x:c r="E18" s="15" t="str">
        <x:v>Registered</x:v>
      </x:c>
      <x:c r="F18" s="15" t="str">
        <x:v>Listed by Lok Sabha reply dated 2024-12-02</x:v>
      </x:c>
      <x:c r="G18" s="15" t="str">
        <x:v>India - exact HQ requires MCA verification</x:v>
      </x:c>
      <x:c r="H18" s="15" t="str">
        <x:v>Requires verification</x:v>
      </x:c>
      <x:c r="I18" s="15" t="str">
        <x:v>VDA services; product mapping pending</x:v>
      </x:c>
      <x:c r="J18" s="15" t="str">
        <x:v>Not disclosed</x:v>
      </x:c>
      <x:c r="K18" s="15" t="str">
        <x:v>Not disclosed</x:v>
      </x:c>
      <x:c r="L18" s="15" t="str">
        <x:v>Not disclosed</x:v>
      </x:c>
      <x:c r="M18" s="15" t="str">
        <x:v>No major incident identified in uploaded sources</x:v>
      </x:c>
      <x:c r="N18" s="15" t="str">
        <x:v>No GST case listed in Lok Sabha Annexure-B</x:v>
      </x:c>
      <x:c r="O18" s="15" t="str">
        <x:v>Unknown / requires verification</x:v>
      </x:c>
      <x:c r="P18" s="15" t="str">
        <x:v>Active / registered as per source</x:v>
      </x:c>
      <x:c r="Q18" s="15" t="str">
        <x:v>UNDER REVIEW</x:v>
      </x:c>
      <x:c r="R18" s="15" t="str">
        <x:v>Tier 4 - Identity/product validation</x:v>
      </x:c>
      <x:c r="S18" s="18" t="str">
        <x:v>2026-05-11</x:v>
      </x:c>
      <x:c r="T18" s="15" t="str">
        <x:v>Lok Sabha Annexure-A</x:v>
      </x:c>
      <x:c r="U18" s="15" t="str">
        <x:v>Low</x:v>
      </x:c>
      <x:c r="V18" s="20" t="n">
        <x:f>COUNTA(A18:U18)/COLUMNS(A18:U18)</x:f>
        <x:v>1</x:v>
      </x:c>
      <x:c r="W18" s="15" t="str">
        <x:f>IF(OR(Q18="EXTREME",ISNUMBER(SEARCH("Tier 1",R18))),"Immediate audit / evidence pack",IF(OR(Q18="VERY HIGH",ISNUMBER(SEARCH("Tier 2",R18))),"Enhanced monitoring","Complete data verification"))</x:f>
        <x:v>Complete data verification</x:v>
      </x:c>
    </x:row>
    <x:row r="19">
      <x:c r="A19" s="15" t="n">
        <x:v>18</x:v>
      </x:c>
      <x:c r="B19" s="15" t="str">
        <x:v>ABHIBHA Technologies Pvt Ltd</x:v>
      </x:c>
      <x:c r="C19" s="15" t="str">
        <x:v>Onmeta</x:v>
      </x:c>
      <x:c r="D19" s="15" t="str">
        <x:v>Domestic</x:v>
      </x:c>
      <x:c r="E19" s="15" t="str">
        <x:v>Registered</x:v>
      </x:c>
      <x:c r="F19" s="15" t="str">
        <x:v>Listed by Lok Sabha reply dated 2024-12-02</x:v>
      </x:c>
      <x:c r="G19" s="15" t="str">
        <x:v>India - exact HQ requires verification</x:v>
      </x:c>
      <x:c r="H19" s="15" t="str">
        <x:v>Requires verification</x:v>
      </x:c>
      <x:c r="I19" s="15" t="str">
        <x:v>On-ramp/off-ramp / payment infrastructure; detailed product mapping pending</x:v>
      </x:c>
      <x:c r="J19" s="15" t="str">
        <x:v>Not disclosed</x:v>
      </x:c>
      <x:c r="K19" s="15" t="str">
        <x:v>Not disclosed</x:v>
      </x:c>
      <x:c r="L19" s="15" t="str">
        <x:v>Not disclosed</x:v>
      </x:c>
      <x:c r="M19" s="15" t="str">
        <x:v>No major incident identified in uploaded sources</x:v>
      </x:c>
      <x:c r="N19" s="15" t="str">
        <x:v>No GST case listed in Lok Sabha Annexure-B</x:v>
      </x:c>
      <x:c r="O19" s="15" t="str">
        <x:v>Unknown / requires verification</x:v>
      </x:c>
      <x:c r="P19" s="15" t="str">
        <x:v>Active / registered as per source</x:v>
      </x:c>
      <x:c r="Q19" s="15" t="str">
        <x:v>UNDER REVIEW</x:v>
      </x:c>
      <x:c r="R19" s="15" t="str">
        <x:v>Tier 3 - On-ramp monitoring</x:v>
      </x:c>
      <x:c r="S19" s="18" t="str">
        <x:v>2026-05-11</x:v>
      </x:c>
      <x:c r="T19" s="15" t="str">
        <x:v>Lok Sabha Annexure-A</x:v>
      </x:c>
      <x:c r="U19" s="15" t="str">
        <x:v>Low</x:v>
      </x:c>
      <x:c r="V19" s="20" t="n">
        <x:f>COUNTA(A19:U19)/COLUMNS(A19:U19)</x:f>
        <x:v>1</x:v>
      </x:c>
      <x:c r="W19" s="15" t="str">
        <x:f>IF(OR(Q19="EXTREME",ISNUMBER(SEARCH("Tier 1",R19))),"Immediate audit / evidence pack",IF(OR(Q19="VERY HIGH",ISNUMBER(SEARCH("Tier 2",R19))),"Enhanced monitoring","Complete data verification"))</x:f>
        <x:v>Complete data verification</x:v>
      </x:c>
    </x:row>
    <x:row r="20">
      <x:c r="A20" s="15" t="n">
        <x:v>19</x:v>
      </x:c>
      <x:c r="B20" s="15" t="str">
        <x:v>Smartliving Digital Technologies Pvt Ltd</x:v>
      </x:c>
      <x:c r="C20" s="15" t="str">
        <x:v>Cryptosmartlife</x:v>
      </x:c>
      <x:c r="D20" s="15" t="str">
        <x:v>Domestic</x:v>
      </x:c>
      <x:c r="E20" s="15" t="str">
        <x:v>Registered</x:v>
      </x:c>
      <x:c r="F20" s="15" t="str">
        <x:v>Listed by Lok Sabha reply dated 2024-12-02</x:v>
      </x:c>
      <x:c r="G20" s="15" t="str">
        <x:v>India - exact HQ requires verification</x:v>
      </x:c>
      <x:c r="H20" s="15" t="str">
        <x:v>Requires verification</x:v>
      </x:c>
      <x:c r="I20" s="15" t="str">
        <x:v>VDA services; detailed product mapping pending</x:v>
      </x:c>
      <x:c r="J20" s="15" t="str">
        <x:v>Not disclosed</x:v>
      </x:c>
      <x:c r="K20" s="15" t="str">
        <x:v>Not disclosed</x:v>
      </x:c>
      <x:c r="L20" s="15" t="str">
        <x:v>Not disclosed</x:v>
      </x:c>
      <x:c r="M20" s="15" t="str">
        <x:v>No major incident identified in uploaded sources</x:v>
      </x:c>
      <x:c r="N20" s="15" t="str">
        <x:v>No GST case listed in Lok Sabha Annexure-B</x:v>
      </x:c>
      <x:c r="O20" s="15" t="str">
        <x:v>Unknown / requires verification</x:v>
      </x:c>
      <x:c r="P20" s="15" t="str">
        <x:v>Active / registered as per source</x:v>
      </x:c>
      <x:c r="Q20" s="15" t="str">
        <x:v>UNDER REVIEW</x:v>
      </x:c>
      <x:c r="R20" s="15" t="str">
        <x:v>Tier 3 - Data buildout</x:v>
      </x:c>
      <x:c r="S20" s="18" t="str">
        <x:v>2026-05-11</x:v>
      </x:c>
      <x:c r="T20" s="15" t="str">
        <x:v>Lok Sabha Annexure-A</x:v>
      </x:c>
      <x:c r="U20" s="15" t="str">
        <x:v>Low</x:v>
      </x:c>
      <x:c r="V20" s="20" t="n">
        <x:f>COUNTA(A20:U20)/COLUMNS(A20:U20)</x:f>
        <x:v>1</x:v>
      </x:c>
      <x:c r="W20" s="15" t="str">
        <x:f>IF(OR(Q20="EXTREME",ISNUMBER(SEARCH("Tier 1",R20))),"Immediate audit / evidence pack",IF(OR(Q20="VERY HIGH",ISNUMBER(SEARCH("Tier 2",R20))),"Enhanced monitoring","Complete data verification"))</x:f>
        <x:v>Complete data verification</x:v>
      </x:c>
    </x:row>
    <x:row r="21">
      <x:c r="A21" s="15" t="n">
        <x:v>20</x:v>
      </x:c>
      <x:c r="B21" s="15" t="str">
        <x:v>UCY Technology Pvt Ltd</x:v>
      </x:c>
      <x:c r="C21" s="15" t="str">
        <x:v>Pyor</x:v>
      </x:c>
      <x:c r="D21" s="15" t="str">
        <x:v>Domestic</x:v>
      </x:c>
      <x:c r="E21" s="15" t="str">
        <x:v>Registered</x:v>
      </x:c>
      <x:c r="F21" s="15" t="str">
        <x:v>Listed by Lok Sabha reply dated 2024-12-02</x:v>
      </x:c>
      <x:c r="G21" s="15" t="str">
        <x:v>India - exact HQ requires verification</x:v>
      </x:c>
      <x:c r="H21" s="15" t="str">
        <x:v>Requires verification</x:v>
      </x:c>
      <x:c r="I21" s="15" t="str">
        <x:v>Spot, quick buy/sell, staking, educational content</x:v>
      </x:c>
      <x:c r="J21" s="15" t="str">
        <x:v>Not disclosed</x:v>
      </x:c>
      <x:c r="K21" s="15" t="str">
        <x:v>Not disclosed</x:v>
      </x:c>
      <x:c r="L21" s="15" t="str">
        <x:v>Spot only</x:v>
      </x:c>
      <x:c r="M21" s="15" t="str">
        <x:v>No major incident identified in uploaded sources</x:v>
      </x:c>
      <x:c r="N21" s="15" t="str">
        <x:v>No GST case listed in Lok Sabha Annexure-B</x:v>
      </x:c>
      <x:c r="O21" s="15" t="str">
        <x:v>Unknown / requires verification</x:v>
      </x:c>
      <x:c r="P21" s="15" t="str">
        <x:v>Active</x:v>
      </x:c>
      <x:c r="Q21" s="15" t="str">
        <x:v>UNDER REVIEW</x:v>
      </x:c>
      <x:c r="R21" s="15" t="str">
        <x:v>Tier 3 - Product monitoring</x:v>
      </x:c>
      <x:c r="S21" s="18" t="str">
        <x:v>2026-05-11</x:v>
      </x:c>
      <x:c r="T21" s="15" t="str">
        <x:v>Lok Sabha Annexure-A; Products Study</x:v>
      </x:c>
      <x:c r="U21" s="15" t="str">
        <x:v>Medium-Low</x:v>
      </x:c>
      <x:c r="V21" s="20" t="n">
        <x:f>COUNTA(A21:U21)/COLUMNS(A21:U21)</x:f>
        <x:v>1</x:v>
      </x:c>
      <x:c r="W21" s="15" t="str">
        <x:f>IF(OR(Q21="EXTREME",ISNUMBER(SEARCH("Tier 1",R21))),"Immediate audit / evidence pack",IF(OR(Q21="VERY HIGH",ISNUMBER(SEARCH("Tier 2",R21))),"Enhanced monitoring","Complete data verification"))</x:f>
        <x:v>Complete data verification</x:v>
      </x:c>
    </x:row>
    <x:row r="22">
      <x:c r="A22" s="15" t="n">
        <x:v>21</x:v>
      </x:c>
      <x:c r="B22" s="15" t="str">
        <x:v>Digital Collectibles Pte Ltd</x:v>
      </x:c>
      <x:c r="C22" s="15" t="str">
        <x:v>Rario</x:v>
      </x:c>
      <x:c r="D22" s="15" t="str">
        <x:v>Offshore / Pte Ltd</x:v>
      </x:c>
      <x:c r="E22" s="15" t="str">
        <x:v>Registered</x:v>
      </x:c>
      <x:c r="F22" s="15" t="str">
        <x:v>Listed by Lok Sabha reply dated 2024-12-02</x:v>
      </x:c>
      <x:c r="G22" s="15" t="str">
        <x:v>Singapore - verify</x:v>
      </x:c>
      <x:c r="H22" s="15" t="str">
        <x:v>Ankit Wadhwa; Sunny Bhanot (publicly associated, verify)</x:v>
      </x:c>
      <x:c r="I22" s="15" t="str">
        <x:v>NFT/digital collectibles</x:v>
      </x:c>
      <x:c r="J22" s="15" t="str">
        <x:v>Not disclosed</x:v>
      </x:c>
      <x:c r="K22" s="15" t="str">
        <x:v>Not disclosed</x:v>
      </x:c>
      <x:c r="L22" s="15" t="str">
        <x:v>Not disclosed</x:v>
      </x:c>
      <x:c r="M22" s="15" t="str">
        <x:v>NFT marketplace/business disruption risk requires verification</x:v>
      </x:c>
      <x:c r="N22" s="15" t="str">
        <x:v>No GST case listed in Lok Sabha Annexure-B</x:v>
      </x:c>
      <x:c r="O22" s="15" t="str">
        <x:v>Unknown / requires verification</x:v>
      </x:c>
      <x:c r="P22" s="15" t="str">
        <x:v>Active / registered as per source</x:v>
      </x:c>
      <x:c r="Q22" s="15" t="str">
        <x:v>UNDER REVIEW</x:v>
      </x:c>
      <x:c r="R22" s="15" t="str">
        <x:v>Tier 3 - NFT/product monitoring</x:v>
      </x:c>
      <x:c r="S22" s="18" t="str">
        <x:v>2026-05-11</x:v>
      </x:c>
      <x:c r="T22" s="15" t="str">
        <x:v>Lok Sabha Annexure-A</x:v>
      </x:c>
      <x:c r="U22" s="15" t="str">
        <x:v>Low-Medium</x:v>
      </x:c>
      <x:c r="V22" s="20" t="n">
        <x:f>COUNTA(A22:U22)/COLUMNS(A22:U22)</x:f>
        <x:v>1</x:v>
      </x:c>
      <x:c r="W22" s="15" t="str">
        <x:f>IF(OR(Q22="EXTREME",ISNUMBER(SEARCH("Tier 1",R22))),"Immediate audit / evidence pack",IF(OR(Q22="VERY HIGH",ISNUMBER(SEARCH("Tier 2",R22))),"Enhanced monitoring","Complete data verification"))</x:f>
        <x:v>Complete data verification</x:v>
      </x:c>
    </x:row>
    <x:row r="23">
      <x:c r="A23" s="15" t="n">
        <x:v>22</x:v>
      </x:c>
      <x:c r="B23" s="15" t="str">
        <x:v>Veeratva Technologies Pvt Ltd</x:v>
      </x:c>
      <x:c r="C23" s="15" t="str">
        <x:v>Vair</x:v>
      </x:c>
      <x:c r="D23" s="15" t="str">
        <x:v>Domestic</x:v>
      </x:c>
      <x:c r="E23" s="15" t="str">
        <x:v>Registered</x:v>
      </x:c>
      <x:c r="F23" s="15" t="str">
        <x:v>Listed by Lok Sabha reply dated 2024-12-02</x:v>
      </x:c>
      <x:c r="G23" s="15" t="str">
        <x:v>India - exact HQ requires verification</x:v>
      </x:c>
      <x:c r="H23" s="15" t="str">
        <x:v>Requires verification</x:v>
      </x:c>
      <x:c r="I23" s="15" t="str">
        <x:v>VDA services; product mapping pending</x:v>
      </x:c>
      <x:c r="J23" s="15" t="str">
        <x:v>Not disclosed</x:v>
      </x:c>
      <x:c r="K23" s="15" t="str">
        <x:v>Not disclosed</x:v>
      </x:c>
      <x:c r="L23" s="15" t="str">
        <x:v>Not disclosed</x:v>
      </x:c>
      <x:c r="M23" s="15" t="str">
        <x:v>No major incident identified in uploaded sources</x:v>
      </x:c>
      <x:c r="N23" s="15" t="str">
        <x:v>No GST case listed in Lok Sabha Annexure-B</x:v>
      </x:c>
      <x:c r="O23" s="15" t="str">
        <x:v>Unknown / requires verification</x:v>
      </x:c>
      <x:c r="P23" s="15" t="str">
        <x:v>Active / registered as per source</x:v>
      </x:c>
      <x:c r="Q23" s="15" t="str">
        <x:v>UNDER REVIEW</x:v>
      </x:c>
      <x:c r="R23" s="15" t="str">
        <x:v>Tier 3 - Data buildout</x:v>
      </x:c>
      <x:c r="S23" s="18" t="str">
        <x:v>2026-05-11</x:v>
      </x:c>
      <x:c r="T23" s="15" t="str">
        <x:v>Lok Sabha Annexure-A</x:v>
      </x:c>
      <x:c r="U23" s="15" t="str">
        <x:v>Low</x:v>
      </x:c>
      <x:c r="V23" s="20" t="n">
        <x:f>COUNTA(A23:U23)/COLUMNS(A23:U23)</x:f>
        <x:v>1</x:v>
      </x:c>
      <x:c r="W23" s="15" t="str">
        <x:f>IF(OR(Q23="EXTREME",ISNUMBER(SEARCH("Tier 1",R23))),"Immediate audit / evidence pack",IF(OR(Q23="VERY HIGH",ISNUMBER(SEARCH("Tier 2",R23))),"Enhanced monitoring","Complete data verification"))</x:f>
        <x:v>Complete data verification</x:v>
      </x:c>
    </x:row>
    <x:row r="24">
      <x:c r="A24" s="15" t="n">
        <x:v>23</x:v>
      </x:c>
      <x:c r="B24" s="15" t="str">
        <x:v>Transak Technology India Pvt Ltd</x:v>
      </x:c>
      <x:c r="C24" s="15" t="str">
        <x:v>Transak</x:v>
      </x:c>
      <x:c r="D24" s="15" t="str">
        <x:v>Domestic / Global on-ramp</x:v>
      </x:c>
      <x:c r="E24" s="15" t="str">
        <x:v>Registered</x:v>
      </x:c>
      <x:c r="F24" s="15" t="str">
        <x:v>Listed by Lok Sabha reply dated 2024-12-02</x:v>
      </x:c>
      <x:c r="G24" s="15" t="str">
        <x:v>Bengaluru / global operations - verify</x:v>
      </x:c>
      <x:c r="H24" s="15" t="str">
        <x:v>Sami Start; Yeshu Agarwal (publicly associated, verify)</x:v>
      </x:c>
      <x:c r="I24" s="15" t="str">
        <x:v>Fiat-to-crypto on/off-ramp infrastructure</x:v>
      </x:c>
      <x:c r="J24" s="15" t="str">
        <x:v>Not disclosed</x:v>
      </x:c>
      <x:c r="K24" s="15" t="str">
        <x:v>Not disclosed</x:v>
      </x:c>
      <x:c r="L24" s="15" t="str">
        <x:v>N/A</x:v>
      </x:c>
      <x:c r="M24" s="15" t="str">
        <x:v>No major incident identified in uploaded sources</x:v>
      </x:c>
      <x:c r="N24" s="15" t="str">
        <x:v>No GST case listed in Lok Sabha Annexure-B</x:v>
      </x:c>
      <x:c r="O24" s="15" t="str">
        <x:v>Unknown / on-ramp TDS/GST process requires audit</x:v>
      </x:c>
      <x:c r="P24" s="15" t="str">
        <x:v>Active</x:v>
      </x:c>
      <x:c r="Q24" s="15" t="str">
        <x:v>UNDER REVIEW</x:v>
      </x:c>
      <x:c r="R24" s="15" t="str">
        <x:v>Tier 2 - On-ramp monitoring</x:v>
      </x:c>
      <x:c r="S24" s="18" t="str">
        <x:v>2026-05-11</x:v>
      </x:c>
      <x:c r="T24" s="15" t="str">
        <x:v>Lok Sabha Annexure-A</x:v>
      </x:c>
      <x:c r="U24" s="15" t="str">
        <x:v>Medium-Low</x:v>
      </x:c>
      <x:c r="V24" s="20" t="n">
        <x:f>COUNTA(A24:U24)/COLUMNS(A24:U24)</x:f>
        <x:v>1</x:v>
      </x:c>
      <x:c r="W24" s="15" t="str">
        <x:f>IF(OR(Q24="EXTREME",ISNUMBER(SEARCH("Tier 1",R24))),"Immediate audit / evidence pack",IF(OR(Q24="VERY HIGH",ISNUMBER(SEARCH("Tier 2",R24))),"Enhanced monitoring","Complete data verification"))</x:f>
        <x:v>Enhanced monitoring</x:v>
      </x:c>
    </x:row>
    <x:row r="25">
      <x:c r="A25" s="15" t="n">
        <x:v>24</x:v>
      </x:c>
      <x:c r="B25" s="15" t="str">
        <x:v>REMIZO Technologies India Pvt Ltd</x:v>
      </x:c>
      <x:c r="C25" s="15" t="str">
        <x:v>Getbit</x:v>
      </x:c>
      <x:c r="D25" s="15" t="str">
        <x:v>Domestic</x:v>
      </x:c>
      <x:c r="E25" s="15" t="str">
        <x:v>Registered</x:v>
      </x:c>
      <x:c r="F25" s="15" t="str">
        <x:v>Listed by Lok Sabha reply dated 2024-12-02</x:v>
      </x:c>
      <x:c r="G25" s="15" t="str">
        <x:v>India - exact HQ requires verification</x:v>
      </x:c>
      <x:c r="H25" s="15" t="str">
        <x:v>Requires verification</x:v>
      </x:c>
      <x:c r="I25" s="15" t="str">
        <x:v>VDA services; product mapping pending</x:v>
      </x:c>
      <x:c r="J25" s="15" t="str">
        <x:v>Not disclosed</x:v>
      </x:c>
      <x:c r="K25" s="15" t="str">
        <x:v>Not disclosed</x:v>
      </x:c>
      <x:c r="L25" s="15" t="str">
        <x:v>Not disclosed</x:v>
      </x:c>
      <x:c r="M25" s="15" t="str">
        <x:v>No major incident identified in uploaded sources</x:v>
      </x:c>
      <x:c r="N25" s="15" t="str">
        <x:v>No GST case listed in Lok Sabha Annexure-B</x:v>
      </x:c>
      <x:c r="O25" s="15" t="str">
        <x:v>Unknown / requires verification</x:v>
      </x:c>
      <x:c r="P25" s="15" t="str">
        <x:v>Active / registered as per source</x:v>
      </x:c>
      <x:c r="Q25" s="15" t="str">
        <x:v>UNDER REVIEW</x:v>
      </x:c>
      <x:c r="R25" s="15" t="str">
        <x:v>Tier 3 - Data buildout</x:v>
      </x:c>
      <x:c r="S25" s="18" t="str">
        <x:v>2026-05-11</x:v>
      </x:c>
      <x:c r="T25" s="15" t="str">
        <x:v>Lok Sabha Annexure-A</x:v>
      </x:c>
      <x:c r="U25" s="15" t="str">
        <x:v>Low</x:v>
      </x:c>
      <x:c r="V25" s="20" t="n">
        <x:f>COUNTA(A25:U25)/COLUMNS(A25:U25)</x:f>
        <x:v>1</x:v>
      </x:c>
      <x:c r="W25" s="15" t="str">
        <x:f>IF(OR(Q25="EXTREME",ISNUMBER(SEARCH("Tier 1",R25))),"Immediate audit / evidence pack",IF(OR(Q25="VERY HIGH",ISNUMBER(SEARCH("Tier 2",R25))),"Enhanced monitoring","Complete data verification"))</x:f>
        <x:v>Complete data verification</x:v>
      </x:c>
    </x:row>
    <x:row r="26">
      <x:c r="A26" s="15" t="n">
        <x:v>25</x:v>
      </x:c>
      <x:c r="B26" s="15" t="str">
        <x:v>FIN GENIE Tech Pvt Ltd</x:v>
      </x:c>
      <x:c r="C26" s="15" t="str">
        <x:v>Bytex</x:v>
      </x:c>
      <x:c r="D26" s="15" t="str">
        <x:v>Domestic</x:v>
      </x:c>
      <x:c r="E26" s="15" t="str">
        <x:v>Registered</x:v>
      </x:c>
      <x:c r="F26" s="15" t="str">
        <x:v>Listed by Lok Sabha reply dated 2024-12-02</x:v>
      </x:c>
      <x:c r="G26" s="15" t="str">
        <x:v>India - exact HQ requires verification</x:v>
      </x:c>
      <x:c r="H26" s="15" t="str">
        <x:v>Requires verification</x:v>
      </x:c>
      <x:c r="I26" s="15" t="str">
        <x:v>Spot trading, quick buy/sell</x:v>
      </x:c>
      <x:c r="J26" s="15" t="str">
        <x:v>Not disclosed</x:v>
      </x:c>
      <x:c r="K26" s="15" t="str">
        <x:v>Not disclosed</x:v>
      </x:c>
      <x:c r="L26" s="15" t="str">
        <x:v>Spot only</x:v>
      </x:c>
      <x:c r="M26" s="15" t="str">
        <x:v>No major incident identified in uploaded sources</x:v>
      </x:c>
      <x:c r="N26" s="15" t="str">
        <x:v>No GST case listed in Lok Sabha Annexure-B</x:v>
      </x:c>
      <x:c r="O26" s="15" t="str">
        <x:v>Unknown / requires verification</x:v>
      </x:c>
      <x:c r="P26" s="15" t="str">
        <x:v>Active</x:v>
      </x:c>
      <x:c r="Q26" s="15" t="str">
        <x:v>UNDER REVIEW</x:v>
      </x:c>
      <x:c r="R26" s="15" t="str">
        <x:v>Tier 3 - Data buildout</x:v>
      </x:c>
      <x:c r="S26" s="18" t="str">
        <x:v>2026-05-11</x:v>
      </x:c>
      <x:c r="T26" s="15" t="str">
        <x:v>Lok Sabha Annexure-A; Products Study</x:v>
      </x:c>
      <x:c r="U26" s="15" t="str">
        <x:v>Medium-Low</x:v>
      </x:c>
      <x:c r="V26" s="20" t="n">
        <x:f>COUNTA(A26:U26)/COLUMNS(A26:U26)</x:f>
        <x:v>1</x:v>
      </x:c>
      <x:c r="W26" s="15" t="str">
        <x:f>IF(OR(Q26="EXTREME",ISNUMBER(SEARCH("Tier 1",R26))),"Immediate audit / evidence pack",IF(OR(Q26="VERY HIGH",ISNUMBER(SEARCH("Tier 2",R26))),"Enhanced monitoring","Complete data verification"))</x:f>
        <x:v>Complete data verification</x:v>
      </x:c>
    </x:row>
    <x:row r="27">
      <x:c r="A27" s="15" t="n">
        <x:v>26</x:v>
      </x:c>
      <x:c r="B27" s="15" t="str">
        <x:v>ARDOUR labs Pvt Ltd</x:v>
      </x:c>
      <x:c r="C27" s="15" t="str">
        <x:v>-</x:v>
      </x:c>
      <x:c r="D27" s="15" t="str">
        <x:v>Domestic</x:v>
      </x:c>
      <x:c r="E27" s="15" t="str">
        <x:v>Registered</x:v>
      </x:c>
      <x:c r="F27" s="15" t="str">
        <x:v>Listed by Lok Sabha reply dated 2024-12-02</x:v>
      </x:c>
      <x:c r="G27" s="15" t="str">
        <x:v>India - exact HQ requires verification</x:v>
      </x:c>
      <x:c r="H27" s="15" t="str">
        <x:v>Requires verification</x:v>
      </x:c>
      <x:c r="I27" s="15" t="str">
        <x:v>VDA services; product mapping pending</x:v>
      </x:c>
      <x:c r="J27" s="15" t="str">
        <x:v>Not disclosed</x:v>
      </x:c>
      <x:c r="K27" s="15" t="str">
        <x:v>Not disclosed</x:v>
      </x:c>
      <x:c r="L27" s="15" t="str">
        <x:v>Not disclosed</x:v>
      </x:c>
      <x:c r="M27" s="15" t="str">
        <x:v>No major incident identified in uploaded sources</x:v>
      </x:c>
      <x:c r="N27" s="15" t="str">
        <x:v>No GST case listed in Lok Sabha Annexure-B</x:v>
      </x:c>
      <x:c r="O27" s="15" t="str">
        <x:v>Unknown / requires verification</x:v>
      </x:c>
      <x:c r="P27" s="15" t="str">
        <x:v>Active / registered as per source</x:v>
      </x:c>
      <x:c r="Q27" s="15" t="str">
        <x:v>UNDER REVIEW</x:v>
      </x:c>
      <x:c r="R27" s="15" t="str">
        <x:v>Tier 4 - Identity/product validation</x:v>
      </x:c>
      <x:c r="S27" s="18" t="str">
        <x:v>2026-05-11</x:v>
      </x:c>
      <x:c r="T27" s="15" t="str">
        <x:v>Lok Sabha Annexure-A</x:v>
      </x:c>
      <x:c r="U27" s="15" t="str">
        <x:v>Low</x:v>
      </x:c>
      <x:c r="V27" s="20" t="n">
        <x:f>COUNTA(A27:U27)/COLUMNS(A27:U27)</x:f>
        <x:v>1</x:v>
      </x:c>
      <x:c r="W27" s="15" t="str">
        <x:f>IF(OR(Q27="EXTREME",ISNUMBER(SEARCH("Tier 1",R27))),"Immediate audit / evidence pack",IF(OR(Q27="VERY HIGH",ISNUMBER(SEARCH("Tier 2",R27))),"Enhanced monitoring","Complete data verification"))</x:f>
        <x:v>Complete data verification</x:v>
      </x:c>
    </x:row>
    <x:row r="28">
      <x:c r="A28" s="15" t="n">
        <x:v>27</x:v>
      </x:c>
      <x:c r="B28" s="15" t="str">
        <x:v>Inocyx Technologies Pvt Ltd</x:v>
      </x:c>
      <x:c r="C28" s="15" t="str">
        <x:v>Inocyx</x:v>
      </x:c>
      <x:c r="D28" s="15" t="str">
        <x:v>Domestic</x:v>
      </x:c>
      <x:c r="E28" s="15" t="str">
        <x:v>Registered</x:v>
      </x:c>
      <x:c r="F28" s="15" t="str">
        <x:v>Listed by Lok Sabha reply dated 2024-12-02</x:v>
      </x:c>
      <x:c r="G28" s="15" t="str">
        <x:v>India - exact HQ requires verification</x:v>
      </x:c>
      <x:c r="H28" s="15" t="str">
        <x:v>Requires verification</x:v>
      </x:c>
      <x:c r="I28" s="15" t="str">
        <x:v>VDA services; product mapping pending</x:v>
      </x:c>
      <x:c r="J28" s="15" t="str">
        <x:v>Not disclosed</x:v>
      </x:c>
      <x:c r="K28" s="15" t="str">
        <x:v>Not disclosed</x:v>
      </x:c>
      <x:c r="L28" s="15" t="str">
        <x:v>Not disclosed</x:v>
      </x:c>
      <x:c r="M28" s="15" t="str">
        <x:v>No major incident identified in uploaded sources</x:v>
      </x:c>
      <x:c r="N28" s="15" t="str">
        <x:v>No GST case listed in Lok Sabha Annexure-B</x:v>
      </x:c>
      <x:c r="O28" s="15" t="str">
        <x:v>Unknown / requires verification</x:v>
      </x:c>
      <x:c r="P28" s="15" t="str">
        <x:v>Active / registered as per source</x:v>
      </x:c>
      <x:c r="Q28" s="15" t="str">
        <x:v>UNDER REVIEW</x:v>
      </x:c>
      <x:c r="R28" s="15" t="str">
        <x:v>Tier 3 - Data buildout</x:v>
      </x:c>
      <x:c r="S28" s="18" t="str">
        <x:v>2026-05-11</x:v>
      </x:c>
      <x:c r="T28" s="15" t="str">
        <x:v>Lok Sabha Annexure-A</x:v>
      </x:c>
      <x:c r="U28" s="15" t="str">
        <x:v>Low</x:v>
      </x:c>
      <x:c r="V28" s="20" t="n">
        <x:f>COUNTA(A28:U28)/COLUMNS(A28:U28)</x:f>
        <x:v>1</x:v>
      </x:c>
      <x:c r="W28" s="15" t="str">
        <x:f>IF(OR(Q28="EXTREME",ISNUMBER(SEARCH("Tier 1",R28))),"Immediate audit / evidence pack",IF(OR(Q28="VERY HIGH",ISNUMBER(SEARCH("Tier 2",R28))),"Enhanced monitoring","Complete data verification"))</x:f>
        <x:v>Complete data verification</x:v>
      </x:c>
    </x:row>
    <x:row r="29">
      <x:c r="A29" s="15" t="n">
        <x:v>28</x:v>
      </x:c>
      <x:c r="B29" s="15" t="str">
        <x:v>Metatoken Technologies Pvt Ltd</x:v>
      </x:c>
      <x:c r="C29" s="15" t="str">
        <x:v>Fanztar</x:v>
      </x:c>
      <x:c r="D29" s="15" t="str">
        <x:v>Domestic</x:v>
      </x:c>
      <x:c r="E29" s="15" t="str">
        <x:v>Registered</x:v>
      </x:c>
      <x:c r="F29" s="15" t="str">
        <x:v>Listed by Lok Sabha reply dated 2024-12-02</x:v>
      </x:c>
      <x:c r="G29" s="15" t="str">
        <x:v>India - exact HQ requires verification</x:v>
      </x:c>
      <x:c r="H29" s="15" t="str">
        <x:v>Requires verification</x:v>
      </x:c>
      <x:c r="I29" s="15" t="str">
        <x:v>Fan tokens / digital collectibles / creator economy tokens; verify current product</x:v>
      </x:c>
      <x:c r="J29" s="15" t="str">
        <x:v>Not disclosed</x:v>
      </x:c>
      <x:c r="K29" s="15" t="str">
        <x:v>Not disclosed</x:v>
      </x:c>
      <x:c r="L29" s="15" t="str">
        <x:v>N/A</x:v>
      </x:c>
      <x:c r="M29" s="15" t="str">
        <x:v>No major incident identified in uploaded sources</x:v>
      </x:c>
      <x:c r="N29" s="15" t="str">
        <x:v>No GST case listed in Lok Sabha Annexure-B</x:v>
      </x:c>
      <x:c r="O29" s="15" t="str">
        <x:v>Unknown / token issuance tax treatment requires verification</x:v>
      </x:c>
      <x:c r="P29" s="15" t="str">
        <x:v>Active / registered as per source</x:v>
      </x:c>
      <x:c r="Q29" s="15" t="str">
        <x:v>UNDER REVIEW</x:v>
      </x:c>
      <x:c r="R29" s="15" t="str">
        <x:v>Tier 3 - Token/product monitoring</x:v>
      </x:c>
      <x:c r="S29" s="18" t="str">
        <x:v>2026-05-11</x:v>
      </x:c>
      <x:c r="T29" s="15" t="str">
        <x:v>Lok Sabha Annexure-A</x:v>
      </x:c>
      <x:c r="U29" s="15" t="str">
        <x:v>Low-Medium</x:v>
      </x:c>
      <x:c r="V29" s="20" t="n">
        <x:f>COUNTA(A29:U29)/COLUMNS(A29:U29)</x:f>
        <x:v>1</x:v>
      </x:c>
      <x:c r="W29" s="15" t="str">
        <x:f>IF(OR(Q29="EXTREME",ISNUMBER(SEARCH("Tier 1",R29))),"Immediate audit / evidence pack",IF(OR(Q29="VERY HIGH",ISNUMBER(SEARCH("Tier 2",R29))),"Enhanced monitoring","Complete data verification"))</x:f>
        <x:v>Complete data verification</x:v>
      </x:c>
    </x:row>
    <x:row r="30">
      <x:c r="A30" s="15" t="n">
        <x:v>29</x:v>
      </x:c>
      <x:c r="B30" s="15" t="str">
        <x:v>Excellium Technologies Pvt Ltd</x:v>
      </x:c>
      <x:c r="C30" s="15" t="str">
        <x:v>Delta Exchange</x:v>
      </x:c>
      <x:c r="D30" s="15" t="str">
        <x:v>Domestic</x:v>
      </x:c>
      <x:c r="E30" s="15" t="str">
        <x:v>Registered</x:v>
      </x:c>
      <x:c r="F30" s="15" t="str">
        <x:v>Listed by Lok Sabha reply dated 2024-12-02</x:v>
      </x:c>
      <x:c r="G30" s="15" t="str">
        <x:v>Mumbai, India / global operations</x:v>
      </x:c>
      <x:c r="H30" s="15" t="str">
        <x:v>Pankaj Balani; Jitendra Tokas</x:v>
      </x:c>
      <x:c r="I30" s="15" t="str">
        <x:v>INR-settled futures, BTC/ETH options, move contracts, spreads, calendar spreads, earn products, auto TDS deduction</x:v>
      </x:c>
      <x:c r="J30" s="15" t="str">
        <x:v>~500K+</x:v>
      </x:c>
      <x:c r="K30" s="15" t="str">
        <x:v>~5% derivatives market share</x:v>
      </x:c>
      <x:c r="L30" s="15" t="str">
        <x:v>100x</x:v>
      </x:c>
      <x:c r="M30" s="15" t="str">
        <x:v>No major incident identified in uploaded sources</x:v>
      </x:c>
      <x:c r="N30" s="15" t="str">
        <x:v>No GST case listed in Lok Sabha Annexure-B; tax dossier recommends survey/show-cause for derivatives records</x:v>
      </x:c>
      <x:c r="O30" s="15" t="str">
        <x:v>Auto TDS stated for some products; derivative TDS/tax classification requires full audit</x:v>
      </x:c>
      <x:c r="P30" s="15" t="str">
        <x:v>Active</x:v>
      </x:c>
      <x:c r="Q30" s="15" t="str">
        <x:v>VERY HIGH</x:v>
      </x:c>
      <x:c r="R30" s="15" t="str">
        <x:v>Tier 1 - Derivatives watchlist</x:v>
      </x:c>
      <x:c r="S30" s="18" t="str">
        <x:v>2026-05-11</x:v>
      </x:c>
      <x:c r="T30" s="15" t="str">
        <x:v>Lok Sabha Annexure-A; Products Study; Derivatives Research; Tax Dossier</x:v>
      </x:c>
      <x:c r="U30" s="15" t="str">
        <x:v>High for products/risk; Medium for TDS</x:v>
      </x:c>
      <x:c r="V30" s="20" t="n">
        <x:f>COUNTA(A30:U30)/COLUMNS(A30:U30)</x:f>
        <x:v>1</x:v>
      </x:c>
      <x:c r="W30" s="15" t="str">
        <x:f>IF(OR(Q30="EXTREME",ISNUMBER(SEARCH("Tier 1",R30))),"Immediate audit / evidence pack",IF(OR(Q30="VERY HIGH",ISNUMBER(SEARCH("Tier 2",R30))),"Enhanced monitoring","Complete data verification"))</x:f>
        <x:v>Immediate audit / evidence pack</x:v>
      </x:c>
    </x:row>
    <x:row r="31">
      <x:c r="A31" s="15" t="n">
        <x:v>30</x:v>
      </x:c>
      <x:c r="B31" s="15" t="str">
        <x:v>Rovi91 Innovations Pvt Ltd</x:v>
      </x:c>
      <x:c r="C31" s="15" t="str">
        <x:v>-</x:v>
      </x:c>
      <x:c r="D31" s="15" t="str">
        <x:v>Domestic</x:v>
      </x:c>
      <x:c r="E31" s="15" t="str">
        <x:v>Registered</x:v>
      </x:c>
      <x:c r="F31" s="15" t="str">
        <x:v>Listed by Lok Sabha reply dated 2024-12-02</x:v>
      </x:c>
      <x:c r="G31" s="15" t="str">
        <x:v>India - exact HQ requires verification</x:v>
      </x:c>
      <x:c r="H31" s="15" t="str">
        <x:v>Requires verification</x:v>
      </x:c>
      <x:c r="I31" s="15" t="str">
        <x:v>VDA services; product mapping pending</x:v>
      </x:c>
      <x:c r="J31" s="15" t="str">
        <x:v>Not disclosed</x:v>
      </x:c>
      <x:c r="K31" s="15" t="str">
        <x:v>Not disclosed</x:v>
      </x:c>
      <x:c r="L31" s="15" t="str">
        <x:v>Not disclosed</x:v>
      </x:c>
      <x:c r="M31" s="15" t="str">
        <x:v>No major incident identified in uploaded sources</x:v>
      </x:c>
      <x:c r="N31" s="15" t="str">
        <x:v>No GST case listed in Lok Sabha Annexure-B</x:v>
      </x:c>
      <x:c r="O31" s="15" t="str">
        <x:v>Unknown / requires verification</x:v>
      </x:c>
      <x:c r="P31" s="15" t="str">
        <x:v>Active / registered as per source</x:v>
      </x:c>
      <x:c r="Q31" s="15" t="str">
        <x:v>UNDER REVIEW</x:v>
      </x:c>
      <x:c r="R31" s="15" t="str">
        <x:v>Tier 4 - Identity/product validation</x:v>
      </x:c>
      <x:c r="S31" s="18" t="str">
        <x:v>2026-05-11</x:v>
      </x:c>
      <x:c r="T31" s="15" t="str">
        <x:v>Lok Sabha Annexure-A</x:v>
      </x:c>
      <x:c r="U31" s="15" t="str">
        <x:v>Low</x:v>
      </x:c>
      <x:c r="V31" s="20" t="n">
        <x:f>COUNTA(A31:U31)/COLUMNS(A31:U31)</x:f>
        <x:v>1</x:v>
      </x:c>
      <x:c r="W31" s="15" t="str">
        <x:f>IF(OR(Q31="EXTREME",ISNUMBER(SEARCH("Tier 1",R31))),"Immediate audit / evidence pack",IF(OR(Q31="VERY HIGH",ISNUMBER(SEARCH("Tier 2",R31))),"Enhanced monitoring","Complete data verification"))</x:f>
        <x:v>Complete data verification</x:v>
      </x:c>
    </x:row>
    <x:row r="32">
      <x:c r="A32" s="15" t="n">
        <x:v>31</x:v>
      </x:c>
      <x:c r="B32" s="15" t="str">
        <x:v>Longreen India Pvt Ltd</x:v>
      </x:c>
      <x:c r="C32" s="15" t="str">
        <x:v>Bitbse.com</x:v>
      </x:c>
      <x:c r="D32" s="15" t="str">
        <x:v>Domestic</x:v>
      </x:c>
      <x:c r="E32" s="15" t="str">
        <x:v>Registered</x:v>
      </x:c>
      <x:c r="F32" s="15" t="str">
        <x:v>Listed by Lok Sabha reply dated 2024-12-02</x:v>
      </x:c>
      <x:c r="G32" s="15" t="str">
        <x:v>India - exact HQ requires verification</x:v>
      </x:c>
      <x:c r="H32" s="15" t="str">
        <x:v>Requires verification</x:v>
      </x:c>
      <x:c r="I32" s="15" t="str">
        <x:v>VDA services; product mapping pending</x:v>
      </x:c>
      <x:c r="J32" s="15" t="str">
        <x:v>Not disclosed</x:v>
      </x:c>
      <x:c r="K32" s="15" t="str">
        <x:v>Not disclosed</x:v>
      </x:c>
      <x:c r="L32" s="15" t="str">
        <x:v>Not disclosed</x:v>
      </x:c>
      <x:c r="M32" s="15" t="str">
        <x:v>No major incident identified in uploaded sources</x:v>
      </x:c>
      <x:c r="N32" s="15" t="str">
        <x:v>GST evasion detected ₹0.12 Cr; recovery ₹0.16 Cr</x:v>
      </x:c>
      <x:c r="O32" s="15" t="str">
        <x:v>Unknown / requires verification</x:v>
      </x:c>
      <x:c r="P32" s="15" t="str">
        <x:v>Active / registered as per source</x:v>
      </x:c>
      <x:c r="Q32" s="15" t="str">
        <x:v>UNDER REVIEW</x:v>
      </x:c>
      <x:c r="R32" s="15" t="str">
        <x:v>Tier 2 - Tax monitoring</x:v>
      </x:c>
      <x:c r="S32" s="18" t="str">
        <x:v>2026-05-11</x:v>
      </x:c>
      <x:c r="T32" s="15" t="str">
        <x:v>Lok Sabha Annexure-A/B</x:v>
      </x:c>
      <x:c r="U32" s="15" t="str">
        <x:v>Medium-Low</x:v>
      </x:c>
      <x:c r="V32" s="20" t="n">
        <x:f>COUNTA(A32:U32)/COLUMNS(A32:U32)</x:f>
        <x:v>1</x:v>
      </x:c>
      <x:c r="W32" s="15" t="str">
        <x:f>IF(OR(Q32="EXTREME",ISNUMBER(SEARCH("Tier 1",R32))),"Immediate audit / evidence pack",IF(OR(Q32="VERY HIGH",ISNUMBER(SEARCH("Tier 2",R32))),"Enhanced monitoring","Complete data verification"))</x:f>
        <x:v>Enhanced monitoring</x:v>
      </x:c>
    </x:row>
    <x:row r="33">
      <x:c r="A33" s="15" t="n">
        <x:v>32</x:v>
      </x:c>
      <x:c r="B33" s="15" t="str">
        <x:v>Flitpay Pvt Ltd</x:v>
      </x:c>
      <x:c r="C33" s="15" t="str">
        <x:v>Flitpay</x:v>
      </x:c>
      <x:c r="D33" s="15" t="str">
        <x:v>Domestic</x:v>
      </x:c>
      <x:c r="E33" s="15" t="str">
        <x:v>Registered</x:v>
      </x:c>
      <x:c r="F33" s="15" t="str">
        <x:v>Listed by Lok Sabha reply dated 2024-12-02</x:v>
      </x:c>
      <x:c r="G33" s="15" t="str">
        <x:v>India - exact HQ requires verification</x:v>
      </x:c>
      <x:c r="H33" s="15" t="str">
        <x:v>Akash Bansal; Ramesh Dangi (verify)</x:v>
      </x:c>
      <x:c r="I33" s="15" t="str">
        <x:v>Spot trading, crypto SIP, staking, quick buy/sell, INR instant withdrawal, educational resources</x:v>
      </x:c>
      <x:c r="J33" s="15" t="str">
        <x:v>~120K</x:v>
      </x:c>
      <x:c r="K33" s="15" t="str">
        <x:v>&lt;0.3% market share</x:v>
      </x:c>
      <x:c r="L33" s="15" t="str">
        <x:v>Spot only</x:v>
      </x:c>
      <x:c r="M33" s="15" t="str">
        <x:v>No major incident identified in uploaded sources</x:v>
      </x:c>
      <x:c r="N33" s="15" t="str">
        <x:v>GST evasion detected ₹0.05 Cr; recovery ₹0.06 Cr</x:v>
      </x:c>
      <x:c r="O33" s="15" t="str">
        <x:v>Unknown / spot TDS requires verification</x:v>
      </x:c>
      <x:c r="P33" s="15" t="str">
        <x:v>Active</x:v>
      </x:c>
      <x:c r="Q33" s="15" t="str">
        <x:v>SPOT ONLY</x:v>
      </x:c>
      <x:c r="R33" s="15" t="str">
        <x:v>Tier 2 - Product/tax monitoring</x:v>
      </x:c>
      <x:c r="S33" s="18" t="str">
        <x:v>2026-05-11</x:v>
      </x:c>
      <x:c r="T33" s="15" t="str">
        <x:v>Lok Sabha Annexure-A/B; Products Study; Derivatives Research</x:v>
      </x:c>
      <x:c r="U33" s="15" t="str">
        <x:v>Medium</x:v>
      </x:c>
      <x:c r="V33" s="20" t="n">
        <x:f>COUNTA(A33:U33)/COLUMNS(A33:U33)</x:f>
        <x:v>1</x:v>
      </x:c>
      <x:c r="W33" s="15" t="str">
        <x:f>IF(OR(Q33="EXTREME",ISNUMBER(SEARCH("Tier 1",R33))),"Immediate audit / evidence pack",IF(OR(Q33="VERY HIGH",ISNUMBER(SEARCH("Tier 2",R33))),"Enhanced monitoring","Complete data verification"))</x:f>
        <x:v>Enhanced monitoring</x:v>
      </x:c>
    </x:row>
    <x:row r="34">
      <x:c r="A34" s="15" t="n">
        <x:v>33</x:v>
      </x:c>
      <x:c r="B34" s="15" t="str">
        <x:v>Fincrypt LLP</x:v>
      </x:c>
      <x:c r="C34" s="15" t="str">
        <x:v>Stable Pay</x:v>
      </x:c>
      <x:c r="D34" s="15" t="str">
        <x:v>Domestic</x:v>
      </x:c>
      <x:c r="E34" s="15" t="str">
        <x:v>Registered</x:v>
      </x:c>
      <x:c r="F34" s="15" t="str">
        <x:v>Listed by Lok Sabha reply dated 2024-12-02</x:v>
      </x:c>
      <x:c r="G34" s="15" t="str">
        <x:v>India - exact HQ requires verification</x:v>
      </x:c>
      <x:c r="H34" s="15" t="str">
        <x:v>Requires verification</x:v>
      </x:c>
      <x:c r="I34" s="15" t="str">
        <x:v>Stablecoin/payment-related VDA services; product mapping pending</x:v>
      </x:c>
      <x:c r="J34" s="15" t="str">
        <x:v>Not disclosed</x:v>
      </x:c>
      <x:c r="K34" s="15" t="str">
        <x:v>Not disclosed</x:v>
      </x:c>
      <x:c r="L34" s="15" t="str">
        <x:v>N/A</x:v>
      </x:c>
      <x:c r="M34" s="15" t="str">
        <x:v>No major incident identified in uploaded sources</x:v>
      </x:c>
      <x:c r="N34" s="15" t="str">
        <x:v>No GST case listed in Lok Sabha Annexure-B</x:v>
      </x:c>
      <x:c r="O34" s="15" t="str">
        <x:v>Unknown / stablecoin/payment flow requires verification</x:v>
      </x:c>
      <x:c r="P34" s="15" t="str">
        <x:v>Active / registered as per source</x:v>
      </x:c>
      <x:c r="Q34" s="15" t="str">
        <x:v>UNDER REVIEW</x:v>
      </x:c>
      <x:c r="R34" s="15" t="str">
        <x:v>Tier 2 - Payment/stablecoin monitoring</x:v>
      </x:c>
      <x:c r="S34" s="18" t="str">
        <x:v>2026-05-11</x:v>
      </x:c>
      <x:c r="T34" s="15" t="str">
        <x:v>Lok Sabha Annexure-A</x:v>
      </x:c>
      <x:c r="U34" s="15" t="str">
        <x:v>Low</x:v>
      </x:c>
      <x:c r="V34" s="20" t="n">
        <x:f>COUNTA(A34:U34)/COLUMNS(A34:U34)</x:f>
        <x:v>1</x:v>
      </x:c>
      <x:c r="W34" s="15" t="str">
        <x:f>IF(OR(Q34="EXTREME",ISNUMBER(SEARCH("Tier 1",R34))),"Immediate audit / evidence pack",IF(OR(Q34="VERY HIGH",ISNUMBER(SEARCH("Tier 2",R34))),"Enhanced monitoring","Complete data verification"))</x:f>
        <x:v>Enhanced monitoring</x:v>
      </x:c>
    </x:row>
    <x:row r="35">
      <x:c r="A35" s="15" t="n">
        <x:v>34</x:v>
      </x:c>
      <x:c r="B35" s="15" t="str">
        <x:v>Arthbit Pvt Ltd</x:v>
      </x:c>
      <x:c r="C35" s="15" t="str">
        <x:v>ArthBit</x:v>
      </x:c>
      <x:c r="D35" s="15" t="str">
        <x:v>Domestic</x:v>
      </x:c>
      <x:c r="E35" s="15" t="str">
        <x:v>Registered</x:v>
      </x:c>
      <x:c r="F35" s="15" t="str">
        <x:v>Listed by Lok Sabha reply dated 2024-12-02</x:v>
      </x:c>
      <x:c r="G35" s="15" t="str">
        <x:v>India - exact HQ requires verification</x:v>
      </x:c>
      <x:c r="H35" s="15" t="str">
        <x:v>Requires verification</x:v>
      </x:c>
      <x:c r="I35" s="15" t="str">
        <x:v>VDA services; product mapping pending</x:v>
      </x:c>
      <x:c r="J35" s="15" t="str">
        <x:v>Not disclosed</x:v>
      </x:c>
      <x:c r="K35" s="15" t="str">
        <x:v>Not disclosed</x:v>
      </x:c>
      <x:c r="L35" s="15" t="str">
        <x:v>Not disclosed</x:v>
      </x:c>
      <x:c r="M35" s="15" t="str">
        <x:v>No major incident identified in uploaded sources</x:v>
      </x:c>
      <x:c r="N35" s="15" t="str">
        <x:v>No GST case listed in Lok Sabha Annexure-B</x:v>
      </x:c>
      <x:c r="O35" s="15" t="str">
        <x:v>Unknown / requires verification</x:v>
      </x:c>
      <x:c r="P35" s="15" t="str">
        <x:v>Active / registered as per source</x:v>
      </x:c>
      <x:c r="Q35" s="15" t="str">
        <x:v>UNDER REVIEW</x:v>
      </x:c>
      <x:c r="R35" s="15" t="str">
        <x:v>Tier 3 - Data buildout</x:v>
      </x:c>
      <x:c r="S35" s="18" t="str">
        <x:v>2026-05-11</x:v>
      </x:c>
      <x:c r="T35" s="15" t="str">
        <x:v>Lok Sabha Annexure-A</x:v>
      </x:c>
      <x:c r="U35" s="15" t="str">
        <x:v>Low</x:v>
      </x:c>
      <x:c r="V35" s="20" t="n">
        <x:f>COUNTA(A35:U35)/COLUMNS(A35:U35)</x:f>
        <x:v>1</x:v>
      </x:c>
      <x:c r="W35" s="15" t="str">
        <x:f>IF(OR(Q35="EXTREME",ISNUMBER(SEARCH("Tier 1",R35))),"Immediate audit / evidence pack",IF(OR(Q35="VERY HIGH",ISNUMBER(SEARCH("Tier 2",R35))),"Enhanced monitoring","Complete data verification"))</x:f>
        <x:v>Complete data verification</x:v>
      </x:c>
    </x:row>
    <x:row r="36">
      <x:c r="A36" s="15" t="n">
        <x:v>35</x:v>
      </x:c>
      <x:c r="B36" s="15" t="str">
        <x:v>Pagarpay India Pvt Ltd</x:v>
      </x:c>
      <x:c r="C36" s="15" t="str">
        <x:v>Density Exchange</x:v>
      </x:c>
      <x:c r="D36" s="15" t="str">
        <x:v>Domestic</x:v>
      </x:c>
      <x:c r="E36" s="15" t="str">
        <x:v>Registered</x:v>
      </x:c>
      <x:c r="F36" s="15" t="str">
        <x:v>Listed by Lok Sabha reply dated 2024-12-02</x:v>
      </x:c>
      <x:c r="G36" s="15" t="str">
        <x:v>India - exact HQ requires verification</x:v>
      </x:c>
      <x:c r="H36" s="15" t="str">
        <x:v>Requires verification</x:v>
      </x:c>
      <x:c r="I36" s="15" t="str">
        <x:v>VDA services; product mapping pending</x:v>
      </x:c>
      <x:c r="J36" s="15" t="str">
        <x:v>Not disclosed</x:v>
      </x:c>
      <x:c r="K36" s="15" t="str">
        <x:v>Not disclosed</x:v>
      </x:c>
      <x:c r="L36" s="15" t="str">
        <x:v>Not disclosed</x:v>
      </x:c>
      <x:c r="M36" s="15" t="str">
        <x:v>No major incident identified in uploaded sources</x:v>
      </x:c>
      <x:c r="N36" s="15" t="str">
        <x:v>No GST case listed in Lok Sabha Annexure-B</x:v>
      </x:c>
      <x:c r="O36" s="15" t="str">
        <x:v>Unknown / requires verification</x:v>
      </x:c>
      <x:c r="P36" s="15" t="str">
        <x:v>Active / registered as per source</x:v>
      </x:c>
      <x:c r="Q36" s="15" t="str">
        <x:v>UNDER REVIEW</x:v>
      </x:c>
      <x:c r="R36" s="15" t="str">
        <x:v>Tier 3 - Data buildout</x:v>
      </x:c>
      <x:c r="S36" s="18" t="str">
        <x:v>2026-05-11</x:v>
      </x:c>
      <x:c r="T36" s="15" t="str">
        <x:v>Lok Sabha Annexure-A</x:v>
      </x:c>
      <x:c r="U36" s="15" t="str">
        <x:v>Low</x:v>
      </x:c>
      <x:c r="V36" s="20" t="n">
        <x:f>COUNTA(A36:U36)/COLUMNS(A36:U36)</x:f>
        <x:v>1</x:v>
      </x:c>
      <x:c r="W36" s="15" t="str">
        <x:f>IF(OR(Q36="EXTREME",ISNUMBER(SEARCH("Tier 1",R36))),"Immediate audit / evidence pack",IF(OR(Q36="VERY HIGH",ISNUMBER(SEARCH("Tier 2",R36))),"Enhanced monitoring","Complete data verification"))</x:f>
        <x:v>Complete data verification</x:v>
      </x:c>
    </x:row>
    <x:row r="37">
      <x:c r="A37" s="15" t="n">
        <x:v>36</x:v>
      </x:c>
      <x:c r="B37" s="15" t="str">
        <x:v>Lightningnodes Technologies Pvt Ltd</x:v>
      </x:c>
      <x:c r="C37" s="15" t="str">
        <x:v>pi42</x:v>
      </x:c>
      <x:c r="D37" s="15" t="str">
        <x:v>Domestic</x:v>
      </x:c>
      <x:c r="E37" s="15" t="str">
        <x:v>Registered</x:v>
      </x:c>
      <x:c r="F37" s="15" t="str">
        <x:v>Listed by Lok Sabha reply dated 2024-12-02</x:v>
      </x:c>
      <x:c r="G37" s="15" t="str">
        <x:v>India - exact HQ requires verification</x:v>
      </x:c>
      <x:c r="H37" s="15" t="str">
        <x:v>Avinash Shekhar; others require verification</x:v>
      </x:c>
      <x:c r="I37" s="15" t="str">
        <x:v>INR-settled perpetual futures, no TDS on futures claim, leverage trading, API trading</x:v>
      </x:c>
      <x:c r="J37" s="15" t="str">
        <x:v>~200K+</x:v>
      </x:c>
      <x:c r="K37" s="15" t="str">
        <x:v>Growing</x:v>
      </x:c>
      <x:c r="L37" s="15" t="str">
        <x:v>150x</x:v>
      </x:c>
      <x:c r="M37" s="15" t="str">
        <x:v>No major incident identified in uploaded sources</x:v>
      </x:c>
      <x:c r="N37" s="15" t="str">
        <x:v>No GST case listed in Lok Sabha Annexure-B; derivative-tax loophole highlighted in project research</x:v>
      </x:c>
      <x:c r="O37" s="15" t="str">
        <x:v>Publicly flagged for 'No TDS' derivative positioning; high-priority TDS classification audit</x:v>
      </x:c>
      <x:c r="P37" s="15" t="str">
        <x:v>Active</x:v>
      </x:c>
      <x:c r="Q37" s="15" t="str">
        <x:v>EXTREME</x:v>
      </x:c>
      <x:c r="R37" s="15" t="str">
        <x:v>Tier 1 - Derivatives/tax watchlist</x:v>
      </x:c>
      <x:c r="S37" s="18" t="str">
        <x:v>2026-05-11</x:v>
      </x:c>
      <x:c r="T37" s="15" t="str">
        <x:v>Lok Sabha Annexure-A; Products Study; Derivatives Research; Tax Dossier</x:v>
      </x:c>
      <x:c r="U37" s="15" t="str">
        <x:v>High for risk/products; Medium for founder/HQ</x:v>
      </x:c>
      <x:c r="V37" s="20" t="n">
        <x:f>COUNTA(A37:U37)/COLUMNS(A37:U37)</x:f>
        <x:v>1</x:v>
      </x:c>
      <x:c r="W37" s="15" t="str">
        <x:f>IF(OR(Q37="EXTREME",ISNUMBER(SEARCH("Tier 1",R37))),"Immediate audit / evidence pack",IF(OR(Q37="VERY HIGH",ISNUMBER(SEARCH("Tier 2",R37))),"Enhanced monitoring","Complete data verification"))</x:f>
        <x:v>Immediate audit / evidence pack</x:v>
      </x:c>
    </x:row>
    <x:row r="38">
      <x:c r="A38" s="15" t="n">
        <x:v>37</x:v>
      </x:c>
      <x:c r="B38" s="15" t="str">
        <x:v>Kooz Advisors and Technologies Pvt Ltd</x:v>
      </x:c>
      <x:c r="C38" s="15" t="str">
        <x:v>KoinBX</x:v>
      </x:c>
      <x:c r="D38" s="15" t="str">
        <x:v>Domestic</x:v>
      </x:c>
      <x:c r="E38" s="15" t="str">
        <x:v>Registered</x:v>
      </x:c>
      <x:c r="F38" s="15" t="str">
        <x:v>Listed by Lok Sabha reply dated 2024-12-02</x:v>
      </x:c>
      <x:c r="G38" s="15" t="str">
        <x:v>India - exact HQ requires verification</x:v>
      </x:c>
      <x:c r="H38" s="15" t="str">
        <x:v>Requires verification</x:v>
      </x:c>
      <x:c r="I38" s="15" t="str">
        <x:v>VDA services; product mapping pending</x:v>
      </x:c>
      <x:c r="J38" s="15" t="str">
        <x:v>Not disclosed</x:v>
      </x:c>
      <x:c r="K38" s="15" t="str">
        <x:v>Not disclosed</x:v>
      </x:c>
      <x:c r="L38" s="15" t="str">
        <x:v>Not disclosed</x:v>
      </x:c>
      <x:c r="M38" s="15" t="str">
        <x:v>No major incident identified in uploaded sources</x:v>
      </x:c>
      <x:c r="N38" s="15" t="str">
        <x:v>No GST case listed in Lok Sabha Annexure-B</x:v>
      </x:c>
      <x:c r="O38" s="15" t="str">
        <x:v>Unknown / requires verification</x:v>
      </x:c>
      <x:c r="P38" s="15" t="str">
        <x:v>Active / registered as per source</x:v>
      </x:c>
      <x:c r="Q38" s="15" t="str">
        <x:v>UNDER REVIEW</x:v>
      </x:c>
      <x:c r="R38" s="15" t="str">
        <x:v>Tier 3 - Data buildout</x:v>
      </x:c>
      <x:c r="S38" s="18" t="str">
        <x:v>2026-05-11</x:v>
      </x:c>
      <x:c r="T38" s="15" t="str">
        <x:v>Lok Sabha Annexure-A</x:v>
      </x:c>
      <x:c r="U38" s="15" t="str">
        <x:v>Low</x:v>
      </x:c>
      <x:c r="V38" s="20" t="n">
        <x:f>COUNTA(A38:U38)/COLUMNS(A38:U38)</x:f>
        <x:v>1</x:v>
      </x:c>
      <x:c r="W38" s="15" t="str">
        <x:f>IF(OR(Q38="EXTREME",ISNUMBER(SEARCH("Tier 1",R38))),"Immediate audit / evidence pack",IF(OR(Q38="VERY HIGH",ISNUMBER(SEARCH("Tier 2",R38))),"Enhanced monitoring","Complete data verification"))</x:f>
        <x:v>Complete data verification</x:v>
      </x:c>
    </x:row>
    <x:row r="39">
      <x:c r="A39" s="15" t="n">
        <x:v>38</x:v>
      </x:c>
      <x:c r="B39" s="15" t="str">
        <x:v>Mindless Pandora Tech Solutions Pvt Ltd</x:v>
      </x:c>
      <x:c r="C39" s="15" t="str">
        <x:v>-</x:v>
      </x:c>
      <x:c r="D39" s="15" t="str">
        <x:v>Domestic</x:v>
      </x:c>
      <x:c r="E39" s="15" t="str">
        <x:v>Registered</x:v>
      </x:c>
      <x:c r="F39" s="15" t="str">
        <x:v>Listed by Lok Sabha reply dated 2024-12-02</x:v>
      </x:c>
      <x:c r="G39" s="15" t="str">
        <x:v>India - exact HQ requires verification</x:v>
      </x:c>
      <x:c r="H39" s="15" t="str">
        <x:v>Requires verification</x:v>
      </x:c>
      <x:c r="I39" s="15" t="str">
        <x:v>VDA services; product mapping pending</x:v>
      </x:c>
      <x:c r="J39" s="15" t="str">
        <x:v>Not disclosed</x:v>
      </x:c>
      <x:c r="K39" s="15" t="str">
        <x:v>Not disclosed</x:v>
      </x:c>
      <x:c r="L39" s="15" t="str">
        <x:v>Not disclosed</x:v>
      </x:c>
      <x:c r="M39" s="15" t="str">
        <x:v>No major incident identified in uploaded sources</x:v>
      </x:c>
      <x:c r="N39" s="15" t="str">
        <x:v>No GST case listed in Lok Sabha Annexure-B</x:v>
      </x:c>
      <x:c r="O39" s="15" t="str">
        <x:v>Unknown / requires verification</x:v>
      </x:c>
      <x:c r="P39" s="15" t="str">
        <x:v>Active / registered as per source</x:v>
      </x:c>
      <x:c r="Q39" s="15" t="str">
        <x:v>UNDER REVIEW</x:v>
      </x:c>
      <x:c r="R39" s="15" t="str">
        <x:v>Tier 4 - Identity/product validation</x:v>
      </x:c>
      <x:c r="S39" s="18" t="str">
        <x:v>2026-05-11</x:v>
      </x:c>
      <x:c r="T39" s="15" t="str">
        <x:v>Lok Sabha Annexure-A</x:v>
      </x:c>
      <x:c r="U39" s="15" t="str">
        <x:v>Low</x:v>
      </x:c>
      <x:c r="V39" s="20" t="n">
        <x:f>COUNTA(A39:U39)/COLUMNS(A39:U39)</x:f>
        <x:v>1</x:v>
      </x:c>
      <x:c r="W39" s="15" t="str">
        <x:f>IF(OR(Q39="EXTREME",ISNUMBER(SEARCH("Tier 1",R39))),"Immediate audit / evidence pack",IF(OR(Q39="VERY HIGH",ISNUMBER(SEARCH("Tier 2",R39))),"Enhanced monitoring","Complete data verification"))</x:f>
        <x:v>Complete data verification</x:v>
      </x:c>
    </x:row>
    <x:row r="40">
      <x:c r="A40" s="15" t="n">
        <x:v>39</x:v>
      </x:c>
      <x:c r="B40" s="15" t="str">
        <x:v>FanzCraze Technologies Inc</x:v>
      </x:c>
      <x:c r="C40" s="15" t="str">
        <x:v>-</x:v>
      </x:c>
      <x:c r="D40" s="15" t="str">
        <x:v>Offshore / global</x:v>
      </x:c>
      <x:c r="E40" s="15" t="str">
        <x:v>Registered</x:v>
      </x:c>
      <x:c r="F40" s="15" t="str">
        <x:v>Listed by Lok Sabha reply dated 2024-12-02</x:v>
      </x:c>
      <x:c r="G40" s="15" t="str">
        <x:v>Global / India operations require verification</x:v>
      </x:c>
      <x:c r="H40" s="15" t="str">
        <x:v>Requires verification</x:v>
      </x:c>
      <x:c r="I40" s="15" t="str">
        <x:v>Sports NFTs / digital collectibles; product mapping pending</x:v>
      </x:c>
      <x:c r="J40" s="15" t="str">
        <x:v>Not disclosed</x:v>
      </x:c>
      <x:c r="K40" s="15" t="str">
        <x:v>Not disclosed</x:v>
      </x:c>
      <x:c r="L40" s="15" t="str">
        <x:v>N/A</x:v>
      </x:c>
      <x:c r="M40" s="15" t="str">
        <x:v>No major incident identified in uploaded sources</x:v>
      </x:c>
      <x:c r="N40" s="15" t="str">
        <x:v>No GST case listed in Lok Sabha Annexure-B</x:v>
      </x:c>
      <x:c r="O40" s="15" t="str">
        <x:v>Unknown / NFT/token tax requires verification</x:v>
      </x:c>
      <x:c r="P40" s="15" t="str">
        <x:v>Active / registered as per source</x:v>
      </x:c>
      <x:c r="Q40" s="15" t="str">
        <x:v>UNDER REVIEW</x:v>
      </x:c>
      <x:c r="R40" s="15" t="str">
        <x:v>Tier 3 - NFT/product monitoring</x:v>
      </x:c>
      <x:c r="S40" s="18" t="str">
        <x:v>2026-05-11</x:v>
      </x:c>
      <x:c r="T40" s="15" t="str">
        <x:v>Lok Sabha Annexure-A</x:v>
      </x:c>
      <x:c r="U40" s="15" t="str">
        <x:v>Low</x:v>
      </x:c>
      <x:c r="V40" s="20" t="n">
        <x:f>COUNTA(A40:U40)/COLUMNS(A40:U40)</x:f>
        <x:v>1</x:v>
      </x:c>
      <x:c r="W40" s="15" t="str">
        <x:f>IF(OR(Q40="EXTREME",ISNUMBER(SEARCH("Tier 1",R40))),"Immediate audit / evidence pack",IF(OR(Q40="VERY HIGH",ISNUMBER(SEARCH("Tier 2",R40))),"Enhanced monitoring","Complete data verification"))</x:f>
        <x:v>Complete data verification</x:v>
      </x:c>
    </x:row>
    <x:row r="41">
      <x:c r="A41" s="15" t="n">
        <x:v>40</x:v>
      </x:c>
      <x:c r="B41" s="15" t="str">
        <x:v>SUBHX Infotech (OPC) Pvt Ltd</x:v>
      </x:c>
      <x:c r="C41" s="15" t="str">
        <x:v>BIT24HR</x:v>
      </x:c>
      <x:c r="D41" s="15" t="str">
        <x:v>Domestic</x:v>
      </x:c>
      <x:c r="E41" s="15" t="str">
        <x:v>Registered</x:v>
      </x:c>
      <x:c r="F41" s="15" t="str">
        <x:v>Listed by Lok Sabha reply dated 2024-12-02</x:v>
      </x:c>
      <x:c r="G41" s="15" t="str">
        <x:v>India - exact HQ requires verification</x:v>
      </x:c>
      <x:c r="H41" s="15" t="str">
        <x:v>Requires verification</x:v>
      </x:c>
      <x:c r="I41" s="15" t="str">
        <x:v>VDA services; product mapping pending</x:v>
      </x:c>
      <x:c r="J41" s="15" t="str">
        <x:v>Not disclosed</x:v>
      </x:c>
      <x:c r="K41" s="15" t="str">
        <x:v>Not disclosed</x:v>
      </x:c>
      <x:c r="L41" s="15" t="str">
        <x:v>Not disclosed</x:v>
      </x:c>
      <x:c r="M41" s="15" t="str">
        <x:v>No major incident identified in uploaded sources</x:v>
      </x:c>
      <x:c r="N41" s="15" t="str">
        <x:v>No GST case listed in Lok Sabha Annexure-B</x:v>
      </x:c>
      <x:c r="O41" s="15" t="str">
        <x:v>Unknown / requires verification</x:v>
      </x:c>
      <x:c r="P41" s="15" t="str">
        <x:v>Active / registered as per source</x:v>
      </x:c>
      <x:c r="Q41" s="15" t="str">
        <x:v>UNDER REVIEW</x:v>
      </x:c>
      <x:c r="R41" s="15" t="str">
        <x:v>Tier 3 - Data buildout</x:v>
      </x:c>
      <x:c r="S41" s="18" t="str">
        <x:v>2026-05-11</x:v>
      </x:c>
      <x:c r="T41" s="15" t="str">
        <x:v>Lok Sabha Annexure-A</x:v>
      </x:c>
      <x:c r="U41" s="15" t="str">
        <x:v>Low</x:v>
      </x:c>
      <x:c r="V41" s="20" t="n">
        <x:f>COUNTA(A41:U41)/COLUMNS(A41:U41)</x:f>
        <x:v>1</x:v>
      </x:c>
      <x:c r="W41" s="15" t="str">
        <x:f>IF(OR(Q41="EXTREME",ISNUMBER(SEARCH("Tier 1",R41))),"Immediate audit / evidence pack",IF(OR(Q41="VERY HIGH",ISNUMBER(SEARCH("Tier 2",R41))),"Enhanced monitoring","Complete data verification"))</x:f>
        <x:v>Complete data verification</x:v>
      </x:c>
    </x:row>
    <x:row r="42">
      <x:c r="A42" s="15" t="n">
        <x:v>41</x:v>
      </x:c>
      <x:c r="B42" s="15" t="str">
        <x:v>Peken Global Ltd</x:v>
      </x:c>
      <x:c r="C42" s="15" t="str">
        <x:v>KuCoin</x:v>
      </x:c>
      <x:c r="D42" s="15" t="str">
        <x:v>Offshore</x:v>
      </x:c>
      <x:c r="E42" s="15" t="str">
        <x:v>Registered</x:v>
      </x:c>
      <x:c r="F42" s="15" t="str">
        <x:v>Registration date cited as Mar-2024 in active profile</x:v>
      </x:c>
      <x:c r="G42" s="15" t="str">
        <x:v>Seychelles / global operations</x:v>
      </x:c>
      <x:c r="H42" s="15" t="str">
        <x:v>Michael Gan; Eric Don (verify current corporate details)</x:v>
      </x:c>
      <x:c r="I42" s="15" t="str">
        <x:v>Spot, futures, margin, P2P, staking, lending, KuMining, GemSPACE, IEO launchpad, bots, airdrops, Web3 wallet, KCS loyalty, non-custodial trading</x:v>
      </x:c>
      <x:c r="J42" s="15" t="str">
        <x:v>~2M India users</x:v>
      </x:c>
      <x:c r="K42" s="15" t="str">
        <x:v>~4% market share</x:v>
      </x:c>
      <x:c r="L42" s="15" t="str">
        <x:v>100x</x:v>
      </x:c>
      <x:c r="M42" s="15" t="str">
        <x:v>No major India-specific security incident identified in uploaded sources</x:v>
      </x:c>
      <x:c r="N42" s="15" t="str">
        <x:v>FIU penalty noted in research: ₹34.5 lakh; no GST case in Annexure-B</x:v>
      </x:c>
      <x:c r="O42" s="15" t="str">
        <x:v>Auto TDS noted in one project table for KuCoin; P2P/derivatives/product-level TDS requires verification</x:v>
      </x:c>
      <x:c r="P42" s="15" t="str">
        <x:v>Active / FIU registered</x:v>
      </x:c>
      <x:c r="Q42" s="15" t="str">
        <x:v>VERY HIGH</x:v>
      </x:c>
      <x:c r="R42" s="15" t="str">
        <x:v>Tier 1 - Offshore watchlist</x:v>
      </x:c>
      <x:c r="S42" s="18" t="str">
        <x:v>2026-05-11</x:v>
      </x:c>
      <x:c r="T42" s="15" t="str">
        <x:v>Lok Sabha Annexure-A; Products Study; Derivatives Research</x:v>
      </x:c>
      <x:c r="U42" s="15" t="str">
        <x:v>High for status/products; Medium for TDS/founders</x:v>
      </x:c>
      <x:c r="V42" s="20" t="n">
        <x:f>COUNTA(A42:U42)/COLUMNS(A42:U42)</x:f>
        <x:v>1</x:v>
      </x:c>
      <x:c r="W42" s="15" t="str">
        <x:f>IF(OR(Q42="EXTREME",ISNUMBER(SEARCH("Tier 1",R42))),"Immediate audit / evidence pack",IF(OR(Q42="VERY HIGH",ISNUMBER(SEARCH("Tier 2",R42))),"Enhanced monitoring","Complete data verification"))</x:f>
        <x:v>Immediate audit / evidence pack</x:v>
      </x:c>
    </x:row>
    <x:row r="43">
      <x:c r="A43" s="15" t="n">
        <x:v>42</x:v>
      </x:c>
      <x:c r="B43" s="15" t="str">
        <x:v>ALSD Technologies Pvt Ltd</x:v>
      </x:c>
      <x:c r="C43" s="15" t="str">
        <x:v>Alpyne</x:v>
      </x:c>
      <x:c r="D43" s="15" t="str">
        <x:v>Domestic</x:v>
      </x:c>
      <x:c r="E43" s="15" t="str">
        <x:v>Registered</x:v>
      </x:c>
      <x:c r="F43" s="15" t="str">
        <x:v>Listed by Lok Sabha reply dated 2024-12-02</x:v>
      </x:c>
      <x:c r="G43" s="15" t="str">
        <x:v>India - exact HQ requires verification</x:v>
      </x:c>
      <x:c r="H43" s="15" t="str">
        <x:v>Requires verification</x:v>
      </x:c>
      <x:c r="I43" s="15" t="str">
        <x:v>VDA services; product mapping pending</x:v>
      </x:c>
      <x:c r="J43" s="15" t="str">
        <x:v>Not disclosed</x:v>
      </x:c>
      <x:c r="K43" s="15" t="str">
        <x:v>Not disclosed</x:v>
      </x:c>
      <x:c r="L43" s="15" t="str">
        <x:v>Not disclosed</x:v>
      </x:c>
      <x:c r="M43" s="15" t="str">
        <x:v>No major incident identified in uploaded sources</x:v>
      </x:c>
      <x:c r="N43" s="15" t="str">
        <x:v>No GST case listed in Lok Sabha Annexure-B</x:v>
      </x:c>
      <x:c r="O43" s="15" t="str">
        <x:v>Unknown / requires verification</x:v>
      </x:c>
      <x:c r="P43" s="15" t="str">
        <x:v>Active / registered as per source</x:v>
      </x:c>
      <x:c r="Q43" s="15" t="str">
        <x:v>UNDER REVIEW</x:v>
      </x:c>
      <x:c r="R43" s="15" t="str">
        <x:v>Tier 3 - Data buildout</x:v>
      </x:c>
      <x:c r="S43" s="18" t="str">
        <x:v>2026-05-11</x:v>
      </x:c>
      <x:c r="T43" s="15" t="str">
        <x:v>Lok Sabha Annexure-A</x:v>
      </x:c>
      <x:c r="U43" s="15" t="str">
        <x:v>Low</x:v>
      </x:c>
      <x:c r="V43" s="20" t="n">
        <x:f>COUNTA(A43:U43)/COLUMNS(A43:U43)</x:f>
        <x:v>1</x:v>
      </x:c>
      <x:c r="W43" s="15" t="str">
        <x:f>IF(OR(Q43="EXTREME",ISNUMBER(SEARCH("Tier 1",R43))),"Immediate audit / evidence pack",IF(OR(Q43="VERY HIGH",ISNUMBER(SEARCH("Tier 2",R43))),"Enhanced monitoring","Complete data verification"))</x:f>
        <x:v>Complete data verification</x:v>
      </x:c>
    </x:row>
    <x:row r="44">
      <x:c r="A44" s="15" t="n">
        <x:v>43</x:v>
      </x:c>
      <x:c r="B44" s="15" t="str">
        <x:v>Damsol Pvt Ltd</x:v>
      </x:c>
      <x:c r="C44" s="15" t="str">
        <x:v>Square</x:v>
      </x:c>
      <x:c r="D44" s="15" t="str">
        <x:v>Domestic</x:v>
      </x:c>
      <x:c r="E44" s="15" t="str">
        <x:v>Registered</x:v>
      </x:c>
      <x:c r="F44" s="15" t="str">
        <x:v>Listed by Lok Sabha reply dated 2024-12-02</x:v>
      </x:c>
      <x:c r="G44" s="15" t="str">
        <x:v>India - exact HQ requires verification</x:v>
      </x:c>
      <x:c r="H44" s="15" t="str">
        <x:v>Requires verification</x:v>
      </x:c>
      <x:c r="I44" s="15" t="str">
        <x:v>VDA services; product mapping pending</x:v>
      </x:c>
      <x:c r="J44" s="15" t="str">
        <x:v>Not disclosed</x:v>
      </x:c>
      <x:c r="K44" s="15" t="str">
        <x:v>Not disclosed</x:v>
      </x:c>
      <x:c r="L44" s="15" t="str">
        <x:v>Not disclosed</x:v>
      </x:c>
      <x:c r="M44" s="15" t="str">
        <x:v>No major incident identified in uploaded sources</x:v>
      </x:c>
      <x:c r="N44" s="15" t="str">
        <x:v>No GST case listed in Lok Sabha Annexure-B</x:v>
      </x:c>
      <x:c r="O44" s="15" t="str">
        <x:v>Unknown / requires verification</x:v>
      </x:c>
      <x:c r="P44" s="15" t="str">
        <x:v>Active / registered as per source</x:v>
      </x:c>
      <x:c r="Q44" s="15" t="str">
        <x:v>UNDER REVIEW</x:v>
      </x:c>
      <x:c r="R44" s="15" t="str">
        <x:v>Tier 3 - Data buildout</x:v>
      </x:c>
      <x:c r="S44" s="18" t="str">
        <x:v>2026-05-11</x:v>
      </x:c>
      <x:c r="T44" s="15" t="str">
        <x:v>Lok Sabha Annexure-A</x:v>
      </x:c>
      <x:c r="U44" s="15" t="str">
        <x:v>Low</x:v>
      </x:c>
      <x:c r="V44" s="20" t="n">
        <x:f>COUNTA(A44:U44)/COLUMNS(A44:U44)</x:f>
        <x:v>1</x:v>
      </x:c>
      <x:c r="W44" s="15" t="str">
        <x:f>IF(OR(Q44="EXTREME",ISNUMBER(SEARCH("Tier 1",R44))),"Immediate audit / evidence pack",IF(OR(Q44="VERY HIGH",ISNUMBER(SEARCH("Tier 2",R44))),"Enhanced monitoring","Complete data verification"))</x:f>
        <x:v>Complete data verification</x:v>
      </x:c>
    </x:row>
    <x:row r="45">
      <x:c r="A45" s="15" t="n">
        <x:v>44</x:v>
      </x:c>
      <x:c r="B45" s="15" t="str">
        <x:v>First Answer India Technologies Pvt Ltd</x:v>
      </x:c>
      <x:c r="C45" s="15" t="str">
        <x:v>Liminal</x:v>
      </x:c>
      <x:c r="D45" s="15" t="str">
        <x:v>Domestic / Custody</x:v>
      </x:c>
      <x:c r="E45" s="15" t="str">
        <x:v>Registered</x:v>
      </x:c>
      <x:c r="F45" s="15" t="str">
        <x:v>Listed by Lok Sabha reply dated 2024-12-02</x:v>
      </x:c>
      <x:c r="G45" s="15" t="str">
        <x:v>India / Singapore operations require verification</x:v>
      </x:c>
      <x:c r="H45" s="15" t="str">
        <x:v>Mahin Gupta (publicly associated; verify)</x:v>
      </x:c>
      <x:c r="I45" s="15" t="str">
        <x:v>Custody / wallet infrastructure / digital asset safekeeping</x:v>
      </x:c>
      <x:c r="J45" s="15" t="str">
        <x:v>Not disclosed</x:v>
      </x:c>
      <x:c r="K45" s="15" t="str">
        <x:v>Not disclosed</x:v>
      </x:c>
      <x:c r="L45" s="15" t="str">
        <x:v>N/A</x:v>
      </x:c>
      <x:c r="M45" s="15" t="str">
        <x:v>Custody control risk; no major incident assigned in uploaded source but WazirX custody issues require mapping</x:v>
      </x:c>
      <x:c r="N45" s="15" t="str">
        <x:v>No GST case listed in Lok Sabha Annexure-B</x:v>
      </x:c>
      <x:c r="O45" s="15" t="str">
        <x:v>Custody fee/tax status requires verification</x:v>
      </x:c>
      <x:c r="P45" s="15" t="str">
        <x:v>Active</x:v>
      </x:c>
      <x:c r="Q45" s="15" t="str">
        <x:v>CUSTODY RISK</x:v>
      </x:c>
      <x:c r="R45" s="15" t="str">
        <x:v>Tier 1 - Custody supervision</x:v>
      </x:c>
      <x:c r="S45" s="18" t="str">
        <x:v>2026-05-11</x:v>
      </x:c>
      <x:c r="T45" s="15" t="str">
        <x:v>Lok Sabha Annexure-A; Products Study custody-risk framework</x:v>
      </x:c>
      <x:c r="U45" s="15" t="str">
        <x:v>Medium</x:v>
      </x:c>
      <x:c r="V45" s="20" t="n">
        <x:f>COUNTA(A45:U45)/COLUMNS(A45:U45)</x:f>
        <x:v>1</x:v>
      </x:c>
      <x:c r="W45" s="15" t="str">
        <x:f>IF(OR(Q45="EXTREME",ISNUMBER(SEARCH("Tier 1",R45))),"Immediate audit / evidence pack",IF(OR(Q45="VERY HIGH",ISNUMBER(SEARCH("Tier 2",R45))),"Enhanced monitoring","Complete data verification"))</x:f>
        <x:v>Immediate audit / evidence pack</x:v>
      </x:c>
    </x:row>
    <x:row r="46">
      <x:c r="A46" s="15" t="n">
        <x:v>45</x:v>
      </x:c>
      <x:c r="B46" s="15" t="str">
        <x:v>Eclipton Technologies Pvt Ltd</x:v>
      </x:c>
      <x:c r="C46" s="15" t="str">
        <x:v>Eclipton</x:v>
      </x:c>
      <x:c r="D46" s="15" t="str">
        <x:v>Domestic</x:v>
      </x:c>
      <x:c r="E46" s="15" t="str">
        <x:v>Registered</x:v>
      </x:c>
      <x:c r="F46" s="15" t="str">
        <x:v>Listed by Lok Sabha reply dated 2024-12-02</x:v>
      </x:c>
      <x:c r="G46" s="15" t="str">
        <x:v>India - exact HQ requires verification</x:v>
      </x:c>
      <x:c r="H46" s="15" t="str">
        <x:v>Requires verification</x:v>
      </x:c>
      <x:c r="I46" s="15" t="str">
        <x:v>VDA services; product mapping pending</x:v>
      </x:c>
      <x:c r="J46" s="15" t="str">
        <x:v>Not disclosed</x:v>
      </x:c>
      <x:c r="K46" s="15" t="str">
        <x:v>Not disclosed</x:v>
      </x:c>
      <x:c r="L46" s="15" t="str">
        <x:v>Not disclosed</x:v>
      </x:c>
      <x:c r="M46" s="15" t="str">
        <x:v>No major incident identified in uploaded sources</x:v>
      </x:c>
      <x:c r="N46" s="15" t="str">
        <x:v>No GST case listed in Lok Sabha Annexure-B</x:v>
      </x:c>
      <x:c r="O46" s="15" t="str">
        <x:v>Unknown / requires verification</x:v>
      </x:c>
      <x:c r="P46" s="15" t="str">
        <x:v>Active / registered as per source</x:v>
      </x:c>
      <x:c r="Q46" s="15" t="str">
        <x:v>UNDER REVIEW</x:v>
      </x:c>
      <x:c r="R46" s="15" t="str">
        <x:v>Tier 3 - Data buildout</x:v>
      </x:c>
      <x:c r="S46" s="18" t="str">
        <x:v>2026-05-11</x:v>
      </x:c>
      <x:c r="T46" s="15" t="str">
        <x:v>Lok Sabha Annexure-A</x:v>
      </x:c>
      <x:c r="U46" s="15" t="str">
        <x:v>Low</x:v>
      </x:c>
      <x:c r="V46" s="20" t="n">
        <x:f>COUNTA(A46:U46)/COLUMNS(A46:U46)</x:f>
        <x:v>1</x:v>
      </x:c>
      <x:c r="W46" s="15" t="str">
        <x:f>IF(OR(Q46="EXTREME",ISNUMBER(SEARCH("Tier 1",R46))),"Immediate audit / evidence pack",IF(OR(Q46="VERY HIGH",ISNUMBER(SEARCH("Tier 2",R46))),"Enhanced monitoring","Complete data verification"))</x:f>
        <x:v>Complete data verification</x:v>
      </x:c>
    </x:row>
    <x:row r="47">
      <x:c r="A47" s="15" t="n">
        <x:v>46</x:v>
      </x:c>
      <x:c r="B47" s="15" t="str">
        <x:v>Blockoville OU</x:v>
      </x:c>
      <x:c r="C47" s="15" t="str">
        <x:v>Blockoville</x:v>
      </x:c>
      <x:c r="D47" s="15" t="str">
        <x:v>Offshore / Estonia OÜ</x:v>
      </x:c>
      <x:c r="E47" s="15" t="str">
        <x:v>Registered</x:v>
      </x:c>
      <x:c r="F47" s="15" t="str">
        <x:v>Listed by Lok Sabha reply dated 2024-12-02</x:v>
      </x:c>
      <x:c r="G47" s="15" t="str">
        <x:v>Estonia / global operations requires verification</x:v>
      </x:c>
      <x:c r="H47" s="15" t="str">
        <x:v>Requires verification</x:v>
      </x:c>
      <x:c r="I47" s="15" t="str">
        <x:v>VDA services; product mapping pending</x:v>
      </x:c>
      <x:c r="J47" s="15" t="str">
        <x:v>Not disclosed</x:v>
      </x:c>
      <x:c r="K47" s="15" t="str">
        <x:v>Not disclosed</x:v>
      </x:c>
      <x:c r="L47" s="15" t="str">
        <x:v>Not disclosed</x:v>
      </x:c>
      <x:c r="M47" s="15" t="str">
        <x:v>No major incident identified in uploaded sources</x:v>
      </x:c>
      <x:c r="N47" s="15" t="str">
        <x:v>No GST case listed in Lok Sabha Annexure-B</x:v>
      </x:c>
      <x:c r="O47" s="15" t="str">
        <x:v>Unknown / cross-border TDS/GST requires verification</x:v>
      </x:c>
      <x:c r="P47" s="15" t="str">
        <x:v>Active / registered as per source</x:v>
      </x:c>
      <x:c r="Q47" s="15" t="str">
        <x:v>UNDER REVIEW</x:v>
      </x:c>
      <x:c r="R47" s="15" t="str">
        <x:v>Tier 2 - Offshore monitoring</x:v>
      </x:c>
      <x:c r="S47" s="18" t="str">
        <x:v>2026-05-11</x:v>
      </x:c>
      <x:c r="T47" s="15" t="str">
        <x:v>Lok Sabha Annexure-A</x:v>
      </x:c>
      <x:c r="U47" s="15" t="str">
        <x:v>Low</x:v>
      </x:c>
      <x:c r="V47" s="20" t="n">
        <x:f>COUNTA(A47:U47)/COLUMNS(A47:U47)</x:f>
        <x:v>1</x:v>
      </x:c>
      <x:c r="W47" s="15" t="str">
        <x:f>IF(OR(Q47="EXTREME",ISNUMBER(SEARCH("Tier 1",R47))),"Immediate audit / evidence pack",IF(OR(Q47="VERY HIGH",ISNUMBER(SEARCH("Tier 2",R47))),"Enhanced monitoring","Complete data verification"))</x:f>
        <x:v>Enhanced monitoring</x:v>
      </x:c>
    </x:row>
    <x:row r="48">
      <x:c r="A48" s="15" t="n">
        <x:v>47</x:v>
      </x:c>
      <x:c r="B48" s="15" t="str">
        <x:v>Binance International Limited</x:v>
      </x:c>
      <x:c r="C48" s="15" t="str">
        <x:v>Binance</x:v>
      </x:c>
      <x:c r="D48" s="15" t="str">
        <x:v>Offshore</x:v>
      </x:c>
      <x:c r="E48" s="15" t="str">
        <x:v>Registered</x:v>
      </x:c>
      <x:c r="F48" s="15" t="str">
        <x:v>Registration date cited as Jun-2024 in active profile; listed by Lok Sabha 2024-12-02</x:v>
      </x:c>
      <x:c r="G48" s="15" t="str">
        <x:v>Global; no single official HQ; major operating jurisdictions include Seychelles/other entities depending on unit</x:v>
      </x:c>
      <x:c r="H48" s="15" t="str">
        <x:v>Changpeng Zhao; Yi He</x:v>
      </x:c>
      <x:c r="I48" s="15" t="str">
        <x:v>Spot, futures 125x, options, margin, P2P, staking, lending, earn, auto-invest, launchpad, NFT, copy trading, bots, crypto loans, dual investment, liquidity farming, BNB Vault, fan tokens, Binance Pay</x:v>
      </x:c>
      <x:c r="J48" s="15" t="str">
        <x:v>~6.28M India users</x:v>
      </x:c>
      <x:c r="K48" s="15" t="str">
        <x:v>~8% derivatives market share</x:v>
      </x:c>
      <x:c r="L48" s="15" t="str">
        <x:v>125x</x:v>
      </x:c>
      <x:c r="M48" s="15" t="str">
        <x:v>No India-specific hack in uploaded sources; global compliance risk; P2P/crypto card/payment exposure</x:v>
      </x:c>
      <x:c r="N48" s="15" t="str">
        <x:v>GST evasion detected via Nest Services Ltd ₹722.43 Cr; zero recovery in Parliamentary annexure / research; FIU fine ₹18.82 Cr noted</x:v>
      </x:c>
      <x:c r="O48" s="15" t="str">
        <x:v>One project table marks Binance auto TDS No; product-level TDS requires audit</x:v>
      </x:c>
      <x:c r="P48" s="15" t="str">
        <x:v>Active / FIU registered but critical tax watchlist</x:v>
      </x:c>
      <x:c r="Q48" s="15" t="str">
        <x:v>EXTREME</x:v>
      </x:c>
      <x:c r="R48" s="15" t="str">
        <x:v>Tier 1 - Critical offshore/tax watchlist</x:v>
      </x:c>
      <x:c r="S48" s="18" t="str">
        <x:v>2026-05-11</x:v>
      </x:c>
      <x:c r="T48" s="15" t="str">
        <x:v>Lok Sabha Annexure-A/B; Products Study; Derivatives Research; Tax Black Hole Analysis</x:v>
      </x:c>
      <x:c r="U48" s="15" t="str">
        <x:v>High</x:v>
      </x:c>
      <x:c r="V48" s="20" t="n">
        <x:f>COUNTA(A48:U48)/COLUMNS(A48:U48)</x:f>
        <x:v>1</x:v>
      </x:c>
      <x:c r="W48" s="15" t="str">
        <x:f>IF(OR(Q48="EXTREME",ISNUMBER(SEARCH("Tier 1",R48))),"Immediate audit / evidence pack",IF(OR(Q48="VERY HIGH",ISNUMBER(SEARCH("Tier 2",R48))),"Enhanced monitoring","Complete data verification"))</x:f>
        <x:v>Immediate audit / evidence pack</x:v>
      </x:c>
    </x:row>
    <x:row r="49">
      <x:c r="A49" s="15" t="n">
        <x:v>48</x:v>
      </x:c>
      <x:c r="B49" s="15" t="str">
        <x:v>Coinbase Global / Coinbase India related entity</x:v>
      </x:c>
      <x:c r="C49" s="15" t="str">
        <x:v>Coinbase India</x:v>
      </x:c>
      <x:c r="D49" s="15" t="str">
        <x:v>Offshore</x:v>
      </x:c>
      <x:c r="E49" s="15" t="str">
        <x:v>Registered</x:v>
      </x:c>
      <x:c r="F49" s="15" t="str">
        <x:v>Registration date cited as Mar-2025 in active profile; added after 49 count in later research</x:v>
      </x:c>
      <x:c r="G49" s="15" t="str">
        <x:v>United States / India operations</x:v>
      </x:c>
      <x:c r="H49" s="15" t="str">
        <x:v>Brian Armstrong; Fred Ehrsam</x:v>
      </x:c>
      <x:c r="I49" s="15" t="str">
        <x:v>Spot trading, advanced trade, perpetual futures via international platform, staking select assets, self-custody wallet, send/receive, learn and earn</x:v>
      </x:c>
      <x:c r="J49" s="15" t="str">
        <x:v>~300K+ India users</x:v>
      </x:c>
      <x:c r="K49" s="15" t="str">
        <x:v>&lt;1% market share</x:v>
      </x:c>
      <x:c r="L49" s="15" t="str">
        <x:v>Spot only in active profile; international derivatives require monitoring</x:v>
      </x:c>
      <x:c r="M49" s="15" t="str">
        <x:v>No India-specific security incident identified in uploaded sources</x:v>
      </x:c>
      <x:c r="N49" s="15" t="str">
        <x:v>No GST case listed in Lok Sabha Annexure-B</x:v>
      </x:c>
      <x:c r="O49" s="15" t="str">
        <x:v>One project table marks Coinbase auto TDS No; product-level TDS requires verification</x:v>
      </x:c>
      <x:c r="P49" s="15" t="str">
        <x:v>Active / FIU registered per later research</x:v>
      </x:c>
      <x:c r="Q49" s="15" t="str">
        <x:v>REGISTERED / MONITOR</x:v>
      </x:c>
      <x:c r="R49" s="15" t="str">
        <x:v>Tier 2 - Offshore product watchlist</x:v>
      </x:c>
      <x:c r="S49" s="18" t="str">
        <x:v>2026-05-11</x:v>
      </x:c>
      <x:c r="T49" s="15" t="str">
        <x:v>Derivatives Research active profile; Products Study; Tax Black Hole Analysis</x:v>
      </x:c>
      <x:c r="U49" s="15" t="str">
        <x:v>Medium</x:v>
      </x:c>
      <x:c r="V49" s="20" t="n">
        <x:f>COUNTA(A49:U49)/COLUMNS(A49:U49)</x:f>
        <x:v>1</x:v>
      </x:c>
      <x:c r="W49" s="15" t="str">
        <x:f>IF(OR(Q49="EXTREME",ISNUMBER(SEARCH("Tier 1",R49))),"Immediate audit / evidence pack",IF(OR(Q49="VERY HIGH",ISNUMBER(SEARCH("Tier 2",R49))),"Enhanced monitoring","Complete data verification"))</x:f>
        <x:v>Enhanced monitoring</x:v>
      </x:c>
    </x:row>
    <x:row r="50">
      <x:c r="A50" s="15" t="n">
        <x:v>49</x:v>
      </x:c>
      <x:c r="B50" s="15" t="str">
        <x:v>Bybit India / Bybit related entity</x:v>
      </x:c>
      <x:c r="C50" s="15" t="str">
        <x:v>Bybit India</x:v>
      </x:c>
      <x:c r="D50" s="15" t="str">
        <x:v>Offshore</x:v>
      </x:c>
      <x:c r="E50" s="15" t="str">
        <x:v>Registered</x:v>
      </x:c>
      <x:c r="F50" s="15" t="str">
        <x:v>Registration date cited as Jan-2025 in active profile; added after 49 count in later research</x:v>
      </x:c>
      <x:c r="G50" s="15" t="str">
        <x:v>Dubai / global operations</x:v>
      </x:c>
      <x:c r="H50" s="15" t="str">
        <x:v>Ben Zhou</x:v>
      </x:c>
      <x:c r="I50" s="15" t="str">
        <x:v>Spot, futures, options, margin, copy trading, bots, launchpad, launchpool, staking, lending, earn, Bybit Card, Web3 wallet, P2P, NFT, dual asset, liquidity mining</x:v>
      </x:c>
      <x:c r="J50" s="15" t="str">
        <x:v>~1.5M India users</x:v>
      </x:c>
      <x:c r="K50" s="15" t="str">
        <x:v>~3% market share</x:v>
      </x:c>
      <x:c r="L50" s="15" t="str">
        <x:v>100x in active profile; Products Study notes up to 200x globally</x:v>
      </x:c>
      <x:c r="M50" s="15" t="str">
        <x:v>No India-specific security incident identified in uploaded sources</x:v>
      </x:c>
      <x:c r="N50" s="15" t="str">
        <x:v>No GST case listed in Lok Sabha Annexure-B; FIU penalty ₹9.27 Cr noted in research</x:v>
      </x:c>
      <x:c r="O50" s="15" t="str">
        <x:v>P2P/card/derivative/product-level TDS requires verification</x:v>
      </x:c>
      <x:c r="P50" s="15" t="str">
        <x:v>Active / FIU registered per later research</x:v>
      </x:c>
      <x:c r="Q50" s="15" t="str">
        <x:v>VERY HIGH</x:v>
      </x:c>
      <x:c r="R50" s="15" t="str">
        <x:v>Tier 1 - Offshore/product/card watchlist</x:v>
      </x:c>
      <x:c r="S50" s="18" t="str">
        <x:v>2026-05-11</x:v>
      </x:c>
      <x:c r="T50" s="15" t="str">
        <x:v>Derivatives Research active profile; Products Study; Tax Black Hole Analysis</x:v>
      </x:c>
      <x:c r="U50" s="15" t="str">
        <x:v>Medium-High</x:v>
      </x:c>
      <x:c r="V50" s="20" t="n">
        <x:f>COUNTA(A50:U50)/COLUMNS(A50:U50)</x:f>
        <x:v>1</x:v>
      </x:c>
      <x:c r="W50" s="15" t="str">
        <x:f>IF(OR(Q50="EXTREME",ISNUMBER(SEARCH("Tier 1",R50))),"Immediate audit / evidence pack",IF(OR(Q50="VERY HIGH",ISNUMBER(SEARCH("Tier 2",R50))),"Enhanced monitoring","Complete data verification"))</x:f>
        <x:v>Immediate audit / evidence pack</x:v>
      </x:c>
    </x:row>
  </x:sheetData>
  <x:conditionalFormatting sqref="Q2:Q50">
    <x:cfRule type="expression" dxfId="0" priority="1">
      <x:formula>OR($Q2="EXTREME",$Q2="VERY HIGH")</x:formula>
    </x:cfRule>
    <x:cfRule type="expression" dxfId="1" priority="2">
      <x:formula>OR($Q2="HIGH",$Q2="CUSTODY RISK")</x:formula>
    </x:cfRule>
    <x:cfRule type="expression" dxfId="2" priority="3">
      <x:formula>OR($Q2="SPOT ONLY",$Q2="MODERATE",$Q2="LOW-MOD")</x:formula>
    </x:cfRule>
  </x:conditionalFormatting>
  <x:conditionalFormatting sqref="U2:U50">
    <x:cfRule type="expression" dxfId="3" priority="4">
      <x:formula>OR(ISNUMBER(SEARCH("Low",$U2)),ISNUMBER(SEARCH("Requires",$H2)))</x:formula>
    </x:cfRule>
  </x:conditionalFormatting>
  <x:dataValidations count="2">
    <x:dataValidation type="list" sqref="E2:E200">
      <x:formula1>"Registered,Registered - evidence pending,Ceased,Blocked,Under review"</x:formula1>
    </x:dataValidation>
    <x:dataValidation type="list" sqref="Q2:Q200">
      <x:formula1>"EXTREME,VERY HIGH,HIGH,MODERATE,LOW-MOD,SPOT ONLY,CUSTODY RISK,REGISTERED / MONITOR,UNDER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c7e8af4eda44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2" hidden="0" customWidth="1"/>
    <x:col min="4" max="4" width="46" hidden="0" customWidth="1"/>
    <x:col min="5" max="5" width="42" hidden="0" customWidth="1"/>
    <x:col min="6" max="6" width="28" hidden="0" customWidth="1"/>
  </x:cols>
  <x:sheetData>
    <x:row r="1" ht="35" customHeight="1">
      <x:c r="A1" s="6" t="str">
        <x:v>Product Category</x:v>
      </x:c>
      <x:c r="B1" s="6" t="str">
        <x:v>How It Works</x:v>
      </x:c>
      <x:c r="C1" s="6" t="str">
        <x:v>Exchanges / Examples</x:v>
      </x:c>
      <x:c r="D1" s="6" t="str">
        <x:v>Primary Regulator Gap</x:v>
      </x:c>
      <x:c r="E1" s="6" t="str">
        <x:v>Monitoring Signal</x:v>
      </x:c>
      <x:c r="F1" s="6" t="str">
        <x:v>Source</x:v>
      </x:c>
    </x:row>
    <x:row r="2">
      <x:c r="A2" s="12" t="str">
        <x:v>Spot Trading</x:v>
      </x:c>
      <x:c r="B2" s="12" t="str">
        <x:v>Buy/sell crypto at current market prices for INR or crypto pairs</x:v>
      </x:c>
      <x:c r="C2" s="12" t="str">
        <x:v>All 49+ exchanges</x:v>
      </x:c>
      <x:c r="D2" s="12" t="str">
        <x:v>Only FIU AML registration; no full market conduct licence</x:v>
      </x:c>
      <x:c r="E2" s="12" t="str">
        <x:v>Order-book integrity, fees, TDS, GST on fees</x:v>
      </x:c>
      <x:c r="F2" s="12" t="str">
        <x:v>Crypto Exchange Products India Research Study p.8</x:v>
      </x:c>
    </x:row>
    <x:row r="3">
      <x:c r="A3" s="12" t="str">
        <x:v>Margin Trading</x:v>
      </x:c>
      <x:c r="B3" s="12" t="str">
        <x:v>Borrow funds from exchange to trade with leverage</x:v>
      </x:c>
      <x:c r="C3" s="12" t="str">
        <x:v>CoinDCX, Binance, KuCoin, Bitbns, Bybit</x:v>
      </x:c>
      <x:c r="D3" s="12" t="str">
        <x:v>No RBI/SEBI lending/credit framework</x:v>
      </x:c>
      <x:c r="E3" s="12" t="str">
        <x:v>Leverage limits, loan book, collateral liquidation</x:v>
      </x:c>
      <x:c r="F3" s="12" t="str">
        <x:v>Products Study p.8</x:v>
      </x:c>
    </x:row>
    <x:row r="4">
      <x:c r="A4" s="12" t="str">
        <x:v>Futures / Perpetual Contracts</x:v>
      </x:c>
      <x:c r="B4" s="12" t="str">
        <x:v>Leveraged contracts settled in INR/USDT referencing crypto price</x:v>
      </x:c>
      <x:c r="C4" s="12" t="str">
        <x:v>Delta, CoinDCX, Binance, Bybit, Mudrex, Pi42, SunCrypto, KuCoin</x:v>
      </x:c>
      <x:c r="D4" s="12" t="str">
        <x:v>No SEBI derivatives approval; TDS gap if treated as non-transfer</x:v>
      </x:c>
      <x:c r="E4" s="12" t="str">
        <x:v>Open interest, funding rates, liquidations, TDS status</x:v>
      </x:c>
      <x:c r="F4" s="12" t="str">
        <x:v>Products Study p.8; Tax Investigations p.25</x:v>
      </x:c>
    </x:row>
    <x:row r="5">
      <x:c r="A5" s="12" t="str">
        <x:v>Options Trading</x:v>
      </x:c>
      <x:c r="B5" s="12" t="str">
        <x:v>Call/put options on BTC/ETH/SOL</x:v>
      </x:c>
      <x:c r="C5" s="12" t="str">
        <x:v>CoinSwitch, Delta, Binance, Bybit</x:v>
      </x:c>
      <x:c r="D5" s="12" t="str">
        <x:v>No SEBI/RBI authorization comparable to securities options</x:v>
      </x:c>
      <x:c r="E5" s="12" t="str">
        <x:v>Option premium, expiry, retail suitability</x:v>
      </x:c>
      <x:c r="F5" s="12" t="str">
        <x:v>Products Study p.8</x:v>
      </x:c>
    </x:row>
    <x:row r="6">
      <x:c r="A6" s="12" t="str">
        <x:v>Staking / Earn / Yield</x:v>
      </x:c>
      <x:c r="B6" s="12" t="str">
        <x:v>Lock/deposit crypto to earn returns</x:v>
      </x:c>
      <x:c r="C6" s="12" t="str">
        <x:v>Mudrex, CoinDCX, ZebPay, Binance, KuCoin, Bybit, Bitbns, Flitpay, Giottus</x:v>
      </x:c>
      <x:c r="D6" s="12" t="str">
        <x:v>No deposit-taking licence; no insurance/capital adequacy</x:v>
      </x:c>
      <x:c r="E6" s="12" t="str">
        <x:v>APY, asset deployment, counterparty exposure</x:v>
      </x:c>
      <x:c r="F6" s="12" t="str">
        <x:v>Products Study p.8</x:v>
      </x:c>
    </x:row>
    <x:row r="7">
      <x:c r="A7" s="12" t="str">
        <x:v>Crypto Lending</x:v>
      </x:c>
      <x:c r="B7" s="12" t="str">
        <x:v>User assets lent to borrowers through exchange</x:v>
      </x:c>
      <x:c r="C7" s="12" t="str">
        <x:v>Binance, KuCoin, Bitbns, Bybit, CoinDCX</x:v>
      </x:c>
      <x:c r="D7" s="12" t="str">
        <x:v>No NBFC/RBI licence</x:v>
      </x:c>
      <x:c r="E7" s="12" t="str">
        <x:v>Loan book, borrower concentration, rehypothecation</x:v>
      </x:c>
      <x:c r="F7" s="12" t="str">
        <x:v>Products Study p.8</x:v>
      </x:c>
    </x:row>
    <x:row r="8">
      <x:c r="A8" s="12" t="str">
        <x:v>Crypto-backed Loans</x:v>
      </x:c>
      <x:c r="B8" s="12" t="str">
        <x:v>Borrow INR/stablecoins against crypto collateral</x:v>
      </x:c>
      <x:c r="C8" s="12" t="str">
        <x:v>Unocoin, Binance, KuCoin, Bybit</x:v>
      </x:c>
      <x:c r="D8" s="12" t="str">
        <x:v>No NBFC/banking licence</x:v>
      </x:c>
      <x:c r="E8" s="12" t="str">
        <x:v>Collateral liquidation rules, LTV, interest</x:v>
      </x:c>
      <x:c r="F8" s="12" t="str">
        <x:v>Products Study p.8</x:v>
      </x:c>
    </x:row>
    <x:row r="9">
      <x:c r="A9" s="12" t="str">
        <x:v>P2P Trading</x:v>
      </x:c>
      <x:c r="B9" s="12" t="str">
        <x:v>Exchange matches buyer/seller and acts as escrow</x:v>
      </x:c>
      <x:c r="C9" s="12" t="str">
        <x:v>Binance, KuCoin, WazirX, Bybit</x:v>
      </x:c>
      <x:c r="D9" s="12" t="str">
        <x:v>No payment aggregator / escrow licence clarity</x:v>
      </x:c>
      <x:c r="E9" s="12" t="str">
        <x:v>Mule accounts, UPI/IMPS patterns, STR volume</x:v>
      </x:c>
      <x:c r="F9" s="12" t="str">
        <x:v>Products Study p.8</x:v>
      </x:c>
    </x:row>
    <x:row r="10">
      <x:c r="A10" s="12" t="str">
        <x:v>Crypto SIP / Auto-Invest</x:v>
      </x:c>
      <x:c r="B10" s="12" t="str">
        <x:v>Periodic crypto investment like SIP</x:v>
      </x:c>
      <x:c r="C10" s="12" t="str">
        <x:v>CoinDCX, ZebPay, Mudrex, CoinSwitch, BuyUcoin, Bitbns, Giottus, SunCrypto, Flitpay, Unocoin</x:v>
      </x:c>
      <x:c r="D10" s="12" t="str">
        <x:v>No AMFI/SEBI framework</x:v>
      </x:c>
      <x:c r="E10" s="12" t="str">
        <x:v>Suitability, disclosures, tax reporting</x:v>
      </x:c>
      <x:c r="F10" s="12" t="str">
        <x:v>Products Study p.8</x:v>
      </x:c>
    </x:row>
    <x:row r="11">
      <x:c r="A11" s="12" t="str">
        <x:v>Coin Sets / Baskets</x:v>
      </x:c>
      <x:c r="B11" s="12" t="str">
        <x:v>Curated theme portfolios</x:v>
      </x:c>
      <x:c r="C11" s="12" t="str">
        <x:v>Mudrex</x:v>
      </x:c>
      <x:c r="D11" s="12" t="str">
        <x:v>No MF/ETF/PMS licence</x:v>
      </x:c>
      <x:c r="E11" s="12" t="str">
        <x:v>Basket composition, rebalancing, disclosures</x:v>
      </x:c>
      <x:c r="F11" s="12" t="str">
        <x:v>Products Study p.8</x:v>
      </x:c>
    </x:row>
    <x:row r="12">
      <x:c r="A12" s="12" t="str">
        <x:v>Crypto Cards / Payments</x:v>
      </x:c>
      <x:c r="B12" s="12" t="str">
        <x:v>Spend crypto via card/payment rail after conversion</x:v>
      </x:c>
      <x:c r="C12" s="12" t="str">
        <x:v>Bybit Card, KuCard, Binance Pay</x:v>
      </x:c>
      <x:c r="D12" s="12" t="str">
        <x:v>No RBI PPI/payment system licence; spending layer tax gap</x:v>
      </x:c>
      <x:c r="E12" s="12" t="str">
        <x:v>BIN monitoring, merchant categories, conversion events</x:v>
      </x:c>
      <x:c r="F12" s="12" t="str">
        <x:v>Products Study p.9, p.13</x:v>
      </x:c>
    </x:row>
    <x:row r="13">
      <x:c r="A13" s="12" t="str">
        <x:v>Custody</x:v>
      </x:c>
      <x:c r="B13" s="12" t="str">
        <x:v>Exchange controls user private keys in omnibus wallets</x:v>
      </x:c>
      <x:c r="C13" s="12" t="str">
        <x:v>All centralised exchanges / custodians like Liminal</x:v>
      </x:c>
      <x:c r="D13" s="12" t="str">
        <x:v>No mandatory segregation, insurance or proof-of-liabilities</x:v>
      </x:c>
      <x:c r="E13" s="12" t="str">
        <x:v>Wallet reserves, liabilities, hot/cold split, multisig</x:v>
      </x:c>
      <x:c r="F13" s="12" t="str">
        <x:v>Products Study p.11</x:v>
      </x:c>
    </x:row>
  </x:sheetData>
  <x:pageMargins left="0.7" right="0.7" top="0.75" bottom="0.75" header="0.3" footer="0.3"/>
  <x:tableParts count="1">
    <x:tablePart xmlns:r="http://schemas.openxmlformats.org/officeDocument/2006/relationships" r:id="R3045f80bf3b743a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0" hidden="0" customWidth="1"/>
    <x:col min="3" max="3" width="60" hidden="0" customWidth="1"/>
  </x:cols>
  <x:sheetData>
    <x:row r="1" ht="35" customHeight="1">
      <x:c r="A1" s="6" t="str">
        <x:v>Source File / Authority</x:v>
      </x:c>
      <x:c r="B1" s="6" t="str">
        <x:v>What It Supports</x:v>
      </x:c>
      <x:c r="C1" s="6" t="str">
        <x:v>Limitations / Follow-up Needed</x:v>
      </x:c>
    </x:row>
    <x:row r="2">
      <x:c r="A2" s="12" t="str">
        <x:v>Lok Sabha Unstarred Question No. 966, 02-Dec-2024</x:v>
      </x:c>
      <x:c r="B2" s="12" t="str">
        <x:v>47 FIU-registered VDA SP names; GST evasion cases against 17 exchanges; recovery amounts</x:v>
      </x:c>
      <x:c r="C2" s="12" t="str">
        <x:v>Exact registration dates not provided for most entries; does not cover later 2025 additions</x:v>
      </x:c>
    </x:row>
    <x:row r="3">
      <x:c r="A3" s="12" t="str">
        <x:v>India Crypto Derivatives FIU Exchanges Research, Dec-2025</x:v>
      </x:c>
      <x:c r="B3" s="12" t="str">
        <x:v>Active profile table: FIU status, estimated users, leverage, market share, risk ratings, registration dates for some offshore exchanges</x:v>
      </x:c>
      <x:c r="C3" s="12" t="str">
        <x:v>Estimates require official exchange/FIU confirmation; Trustpilot/app ratings are time-sensitive</x:v>
      </x:c>
    </x:row>
    <x:row r="4">
      <x:c r="A4" s="12" t="str">
        <x:v>Crypto Exchange Products India Research Study, Jan-2026</x:v>
      </x:c>
      <x:c r="B4" s="12" t="str">
        <x:v>Product offerings and regulatory gaps: spot, margin, futures, options, staking, lending, cards, custody</x:v>
      </x:c>
      <x:c r="C4" s="12" t="str">
        <x:v>Product offerings may change; must be refreshed periodically from exchange disclosures</x:v>
      </x:c>
    </x:row>
    <x:row r="5">
      <x:c r="A5" s="12" t="str">
        <x:v>Crypto Tax Investigations Dossier, Jan-2026</x:v>
      </x:c>
      <x:c r="B5" s="12" t="str">
        <x:v>TDS/product tax loopholes, top-exchange profiles, suspected under-reporting areas, investigation actions</x:v>
      </x:c>
      <x:c r="C5" s="12" t="str">
        <x:v>Suspected items require formal investigation; not legal findings</x:v>
      </x:c>
    </x:row>
    <x:row r="6">
      <x:c r="A6" s="12" t="str">
        <x:v>India Crypto Tax Black Hole Analysis, Jan-2026</x:v>
      </x:c>
      <x:c r="B6" s="12" t="str">
        <x:v>GST/TDS/undisclosed income figures, offshore TDS gaps, tax-loss framework</x:v>
      </x:c>
      <x:c r="C6" s="12" t="str">
        <x:v>Model estimates require official verification</x:v>
      </x:c>
    </x:row>
    <x:row r="7">
      <x:c r="A7" s="12" t="str">
        <x:v>MCA / FIU / Exchange disclosures (to be added)</x:v>
      </x:c>
      <x:c r="B7" s="12" t="str">
        <x:v>Exact registration dates, founders, headquarters, latest status</x:v>
      </x:c>
      <x:c r="C7" s="12" t="str">
        <x:v>To be integrated in next verified update cycle</x:v>
      </x:c>
    </x:row>
    <x:row r="8">
      <x:c r="A8" s="12"/>
      <x:c r="B8" s="12"/>
      <x:c r="C8" s="12"/>
    </x:row>
    <x:row r="9">
      <x:c r="A9" s="12"/>
      <x:c r="B9" s="12"/>
      <x:c r="C9" s="12"/>
    </x:row>
    <x:row r="10">
      <x:c r="A10" s="6" t="str">
        <x:v>Field</x:v>
      </x:c>
      <x:c r="B10" s="6" t="str">
        <x:v>Definition / Update Rule</x:v>
      </x:c>
      <x:c r="C10" s="12"/>
    </x:row>
    <x:row r="11">
      <x:c r="A11" s="12" t="str">
        <x:v>FIU Registration Date / Evidence</x:v>
      </x:c>
      <x:c r="B11" s="12" t="str">
        <x:v>Use exact date only where sourced. If exact date unavailable, record the government response date or later research date as evidence date.</x:v>
      </x:c>
      <x:c r="C11" s="12"/>
    </x:row>
    <x:row r="12">
      <x:c r="A12" s="12" t="str">
        <x:v>TDS Compliance Status</x:v>
      </x:c>
      <x:c r="B12" s="12" t="str">
        <x:v>Classify as Auto TDS Yes/No only where source explicitly states. Otherwise mark Unknown / requires verification.</x:v>
      </x:c>
      <x:c r="C12" s="12"/>
    </x:row>
    <x:row r="13">
      <x:c r="A13" s="12" t="str">
        <x:v>Trading Volume / Market Share</x:v>
      </x:c>
      <x:c r="B13" s="12" t="str">
        <x:v>Prefer official or cited research estimates. Mark all unverified market data as estimate.</x:v>
      </x:c>
      <x:c r="C13" s="12"/>
    </x:row>
    <x:row r="14">
      <x:c r="A14" s="12" t="str">
        <x:v>Security Incidents</x:v>
      </x:c>
      <x:c r="B14" s="12" t="str">
        <x:v>Record confirmed hacks, breaches, wallet incidents, insolvency/fund-freeze events, or major user-lockout events.</x:v>
      </x:c>
      <x:c r="C14" s="12"/>
    </x:row>
    <x:row r="15">
      <x:c r="A15" s="12" t="str">
        <x:v>Risk Rating</x:v>
      </x:c>
      <x:c r="B15" s="12" t="str">
        <x:v>Initial rating based on leverage, products, offshore status, incidents, tax enforcement, custody, and data opacity.</x:v>
      </x:c>
      <x:c r="C15" s="12"/>
    </x:row>
    <x:row r="16">
      <x:c r="A16" s="12" t="str">
        <x:v>Data Confidence</x:v>
      </x:c>
      <x:c r="B16" s="12" t="str">
        <x:v>High = direct gov/research evidence; Medium = triangulated public/research evidence; Low = FIU listing only.</x:v>
      </x:c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  <x:tableParts count="1">
    <x:tablePart xmlns:r="http://schemas.openxmlformats.org/officeDocument/2006/relationships" r:id="R3cc8d4cd394542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45" hidden="0" customWidth="1"/>
    <x:col min="5" max="5" width="48" hidden="0" customWidth="1"/>
    <x:col min="6" max="6" width="14" hidden="0" customWidth="1"/>
    <x:col min="7" max="7" width="24" hidden="0" customWidth="1"/>
    <x:col min="8" max="8" width="14" hidden="0" customWidth="1"/>
  </x:cols>
  <x:sheetData>
    <x:row r="1" ht="35" customHeight="1">
      <x:c r="A1" s="6" t="str">
        <x:v>Gap ID</x:v>
      </x:c>
      <x:c r="B1" s="6" t="str">
        <x:v>Exchange / Area</x:v>
      </x:c>
      <x:c r="C1" s="6" t="str">
        <x:v>Missing Data</x:v>
      </x:c>
      <x:c r="D1" s="6" t="str">
        <x:v>Why It Matters</x:v>
      </x:c>
      <x:c r="E1" s="6" t="str">
        <x:v>Recommended Collection Method</x:v>
      </x:c>
      <x:c r="F1" s="6" t="str">
        <x:v>Priority</x:v>
      </x:c>
      <x:c r="G1" s="6" t="str">
        <x:v>Owner</x:v>
      </x:c>
      <x:c r="H1" s="6" t="str">
        <x:v>Status</x:v>
      </x:c>
    </x:row>
    <x:row r="2">
      <x:c r="A2" s="12" t="str">
        <x:v>G-001</x:v>
      </x:c>
      <x:c r="B2" s="12" t="str">
        <x:v>All small FIU entities</x:v>
      </x:c>
      <x:c r="C2" s="12" t="str">
        <x:v>Exact FIU registration dates</x:v>
      </x:c>
      <x:c r="D2" s="12" t="str">
        <x:v>Needed for enforcement chronology and compliance deadlines</x:v>
      </x:c>
      <x:c r="E2" s="12" t="str">
        <x:v>FIU-IND RTI/official registry request; exchange compliance page capture</x:v>
      </x:c>
      <x:c r="F2" s="12" t="str">
        <x:v>High</x:v>
      </x:c>
      <x:c r="G2" s="12" t="str">
        <x:v>Policy Intelligence</x:v>
      </x:c>
      <x:c r="H2" s="12" t="str">
        <x:v>Open</x:v>
      </x:c>
    </x:row>
    <x:row r="3">
      <x:c r="A3" s="12" t="str">
        <x:v>G-002</x:v>
      </x:c>
      <x:c r="B3" s="12" t="str">
        <x:v>All small FIU entities</x:v>
      </x:c>
      <x:c r="C3" s="12" t="str">
        <x:v>Headquarters, founders, beneficial owners</x:v>
      </x:c>
      <x:c r="D3" s="12" t="str">
        <x:v>Needed for jurisdiction and related-party risk mapping</x:v>
      </x:c>
      <x:c r="E3" s="12" t="str">
        <x:v>MCA master data, ROC filings, LinkedIn/official website, FIU onboarding records</x:v>
      </x:c>
      <x:c r="F3" s="12" t="str">
        <x:v>High</x:v>
      </x:c>
      <x:c r="G3" s="12" t="str">
        <x:v>Corporate Registry Desk</x:v>
      </x:c>
      <x:c r="H3" s="12" t="str">
        <x:v>Open</x:v>
      </x:c>
    </x:row>
    <x:row r="4">
      <x:c r="A4" s="12" t="str">
        <x:v>G-003</x:v>
      </x:c>
      <x:c r="B4" s="12" t="str">
        <x:v>All exchanges</x:v>
      </x:c>
      <x:c r="C4" s="12" t="str">
        <x:v>Product-wise TDS and GST reports</x:v>
      </x:c>
      <x:c r="D4" s="12" t="str">
        <x:v>Needed to quantify spot vs derivatives/staking/lending leakage</x:v>
      </x:c>
      <x:c r="E4" s="12" t="str">
        <x:v>CBDT Section 133(6) notices; monthly exchange data returns</x:v>
      </x:c>
      <x:c r="F4" s="12" t="str">
        <x:v>Critical</x:v>
      </x:c>
      <x:c r="G4" s="12" t="str">
        <x:v>Tax Desk</x:v>
      </x:c>
      <x:c r="H4" s="12" t="str">
        <x:v>Open</x:v>
      </x:c>
    </x:row>
    <x:row r="5">
      <x:c r="A5" s="12" t="str">
        <x:v>G-004</x:v>
      </x:c>
      <x:c r="B5" s="12" t="str">
        <x:v>Derivatives platforms</x:v>
      </x:c>
      <x:c r="C5" s="12" t="str">
        <x:v>Open interest, liquidations, funding rates, leverage exposure</x:v>
      </x:c>
      <x:c r="D5" s="12" t="str">
        <x:v>Needed for consumer and systemic risk monitoring</x:v>
      </x:c>
      <x:c r="E5" s="12" t="str">
        <x:v>API scraping + mandatory exchange submissions</x:v>
      </x:c>
      <x:c r="F5" s="12" t="str">
        <x:v>Critical</x:v>
      </x:c>
      <x:c r="G5" s="12" t="str">
        <x:v>Market Surveillance</x:v>
      </x:c>
      <x:c r="H5" s="12" t="str">
        <x:v>Open</x:v>
      </x:c>
    </x:row>
    <x:row r="6">
      <x:c r="A6" s="12" t="str">
        <x:v>G-005</x:v>
      </x:c>
      <x:c r="B6" s="12" t="str">
        <x:v>Custodians/exchanges</x:v>
      </x:c>
      <x:c r="C6" s="12" t="str">
        <x:v>Proof of reserves and proof of liabilities</x:v>
      </x:c>
      <x:c r="D6" s="12" t="str">
        <x:v>Needed to detect customer fund commingling</x:v>
      </x:c>
      <x:c r="E6" s="12" t="str">
        <x:v>Monthly on-chain PoR + independent audit + liabilities attestation</x:v>
      </x:c>
      <x:c r="F6" s="12" t="str">
        <x:v>Critical</x:v>
      </x:c>
      <x:c r="G6" s="12" t="str">
        <x:v>Forensics Desk</x:v>
      </x:c>
      <x:c r="H6" s="12" t="str">
        <x:v>Open</x:v>
      </x:c>
    </x:row>
    <x:row r="7">
      <x:c r="A7" s="12" t="str">
        <x:v>G-006</x:v>
      </x:c>
      <x:c r="B7" s="12" t="str">
        <x:v>P2P platforms</x:v>
      </x:c>
      <x:c r="C7" s="12" t="str">
        <x:v>UPI/IMPS merchant/mule account patterns</x:v>
      </x:c>
      <x:c r="D7" s="12" t="str">
        <x:v>Needed for AML/CFT and cybercrime response</x:v>
      </x:c>
      <x:c r="E7" s="12" t="str">
        <x:v>Bank/FIU/I4C data sharing; mule-account registry matching</x:v>
      </x:c>
      <x:c r="F7" s="12" t="str">
        <x:v>Critical</x:v>
      </x:c>
      <x:c r="G7" s="12" t="str">
        <x:v>AML Desk</x:v>
      </x:c>
      <x:c r="H7" s="12" t="str">
        <x:v>Open</x:v>
      </x:c>
    </x:row>
    <x:row r="8">
      <x:c r="A8" s="12" t="str">
        <x:v>G-007</x:v>
      </x:c>
      <x:c r="B8" s="12" t="str">
        <x:v>Offshore platforms</x:v>
      </x:c>
      <x:c r="C8" s="12" t="str">
        <x:v>India user count and fee revenue</x:v>
      </x:c>
      <x:c r="D8" s="12" t="str">
        <x:v>Needed for GST/TDS/FEMA exposure</x:v>
      </x:c>
      <x:c r="E8" s="12" t="str">
        <x:v>App traffic, P2P data, CARF/Travel Rule requests, payment-rail analysis</x:v>
      </x:c>
      <x:c r="F8" s="12" t="str">
        <x:v>High</x:v>
      </x:c>
      <x:c r="G8" s="12" t="str">
        <x:v>Cross-border Desk</x:v>
      </x:c>
      <x:c r="H8" s="12" t="str">
        <x:v>Open</x:v>
      </x:c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</x:sheetData>
  <x:conditionalFormatting sqref="F2:F20">
    <x:cfRule type="expression" dxfId="4" priority="1">
      <x:formula>$F2="Critical"</x:formula>
    </x:cfRule>
    <x:cfRule type="expression" dxfId="5" priority="2">
      <x:formula>$F2="High"</x:formula>
    </x:cfRule>
  </x:conditionalFormatting>
  <x:dataValidations count="2">
    <x:dataValidation type="list" sqref="F2:F20">
      <x:formula1>"Critical,High,Medium,Low"</x:formula1>
    </x:dataValidation>
    <x:dataValidation type="list" sqref="H2:H20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70cc6fd8a049c2"/>
  </x:tableParts>
</x:worksheet>
</file>